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56"/>
  <workbookPr filterPrivacy="1" defaultThemeVersion="124226"/>
  <xr:revisionPtr revIDLastSave="0" documentId="13_ncr:1_{05CB94A9-FC78-423C-AAA8-DFA69279BF73}" xr6:coauthVersionLast="36" xr6:coauthVersionMax="36" xr10:uidLastSave="{00000000-0000-0000-0000-000000000000}"/>
  <bookViews>
    <workbookView xWindow="0" yWindow="0" windowWidth="20730" windowHeight="11760" activeTab="1" xr2:uid="{00000000-000D-0000-FFFF-FFFF00000000}"/>
  </bookViews>
  <sheets>
    <sheet name="Enrolment List" sheetId="1" r:id="rId1"/>
    <sheet name="Summary" sheetId="6" r:id="rId2"/>
  </sheets>
  <definedNames>
    <definedName name="_xlnm._FilterDatabase" localSheetId="0" hidden="1">'Enrolment List'!$A$9:$AV$59</definedName>
    <definedName name="_xlnm.Print_Area" localSheetId="0">'Enrolment List'!$A$1:$AV$66</definedName>
    <definedName name="_xlnm.Print_Area" localSheetId="1">Summary!$A$1:$AA$31</definedName>
  </definedNames>
  <calcPr calcId="191029"/>
</workbook>
</file>

<file path=xl/calcChain.xml><?xml version="1.0" encoding="utf-8"?>
<calcChain xmlns="http://schemas.openxmlformats.org/spreadsheetml/2006/main">
  <c r="AV10" i="1" l="1"/>
  <c r="A11" i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V37" i="1"/>
  <c r="AV38" i="1"/>
  <c r="AV39" i="1"/>
  <c r="AV40" i="1"/>
  <c r="AV41" i="1"/>
  <c r="AV42" i="1"/>
  <c r="AV43" i="1"/>
  <c r="AV44" i="1"/>
  <c r="AV45" i="1"/>
  <c r="AV46" i="1"/>
  <c r="AV47" i="1"/>
  <c r="AV48" i="1"/>
  <c r="AV49" i="1"/>
  <c r="AV50" i="1"/>
  <c r="AV51" i="1"/>
  <c r="AV52" i="1"/>
  <c r="AV53" i="1"/>
  <c r="AV54" i="1"/>
  <c r="AV55" i="1"/>
  <c r="AV56" i="1"/>
  <c r="AV57" i="1"/>
  <c r="AV58" i="1"/>
  <c r="AV59" i="1"/>
  <c r="A11" i="6" l="1"/>
  <c r="A12" i="6" s="1"/>
  <c r="A13" i="6" s="1"/>
  <c r="A14" i="6" s="1"/>
  <c r="A15" i="6" s="1"/>
  <c r="A16" i="6" s="1"/>
  <c r="A17" i="6" s="1"/>
  <c r="Z10" i="6"/>
  <c r="Z18" i="6" s="1"/>
  <c r="Z17" i="6"/>
  <c r="AA17" i="6" s="1"/>
  <c r="Y17" i="6"/>
  <c r="Z16" i="6"/>
  <c r="Y16" i="6"/>
  <c r="Z15" i="6"/>
  <c r="Y15" i="6"/>
  <c r="Z14" i="6"/>
  <c r="Y14" i="6"/>
  <c r="Z13" i="6"/>
  <c r="AA13" i="6" s="1"/>
  <c r="Y13" i="6"/>
  <c r="Z12" i="6"/>
  <c r="Y12" i="6"/>
  <c r="Z11" i="6"/>
  <c r="Y11" i="6"/>
  <c r="Y10" i="6"/>
  <c r="X18" i="6"/>
  <c r="X17" i="6"/>
  <c r="X16" i="6"/>
  <c r="X15" i="6"/>
  <c r="X14" i="6"/>
  <c r="X13" i="6"/>
  <c r="X12" i="6"/>
  <c r="X11" i="6"/>
  <c r="X10" i="6"/>
  <c r="U18" i="6"/>
  <c r="U17" i="6"/>
  <c r="U16" i="6"/>
  <c r="U15" i="6"/>
  <c r="U14" i="6"/>
  <c r="U13" i="6"/>
  <c r="U12" i="6"/>
  <c r="U11" i="6"/>
  <c r="U10" i="6"/>
  <c r="R18" i="6"/>
  <c r="R17" i="6"/>
  <c r="R16" i="6"/>
  <c r="R15" i="6"/>
  <c r="R14" i="6"/>
  <c r="R13" i="6"/>
  <c r="R12" i="6"/>
  <c r="R11" i="6"/>
  <c r="R10" i="6"/>
  <c r="L18" i="6"/>
  <c r="L17" i="6"/>
  <c r="L16" i="6"/>
  <c r="L15" i="6"/>
  <c r="L14" i="6"/>
  <c r="L13" i="6"/>
  <c r="L12" i="6"/>
  <c r="L11" i="6"/>
  <c r="L10" i="6"/>
  <c r="O18" i="6"/>
  <c r="O17" i="6"/>
  <c r="O16" i="6"/>
  <c r="O15" i="6"/>
  <c r="O14" i="6"/>
  <c r="O13" i="6"/>
  <c r="O12" i="6"/>
  <c r="O11" i="6"/>
  <c r="O10" i="6"/>
  <c r="I18" i="6"/>
  <c r="I17" i="6"/>
  <c r="I16" i="6"/>
  <c r="I15" i="6"/>
  <c r="I14" i="6"/>
  <c r="I13" i="6"/>
  <c r="I12" i="6"/>
  <c r="I11" i="6"/>
  <c r="I10" i="6"/>
  <c r="F18" i="6"/>
  <c r="F17" i="6"/>
  <c r="F16" i="6"/>
  <c r="F15" i="6"/>
  <c r="F14" i="6"/>
  <c r="F13" i="6"/>
  <c r="F12" i="6"/>
  <c r="F11" i="6"/>
  <c r="F10" i="6"/>
  <c r="AA10" i="6" l="1"/>
  <c r="Y18" i="6"/>
  <c r="AA15" i="6"/>
  <c r="AA12" i="6"/>
  <c r="AA16" i="6"/>
  <c r="AA11" i="6"/>
  <c r="AA14" i="6"/>
  <c r="C6" i="6"/>
  <c r="C5" i="6"/>
  <c r="C4" i="6"/>
  <c r="C3" i="6"/>
  <c r="AA18" i="6" l="1"/>
</calcChain>
</file>

<file path=xl/sharedStrings.xml><?xml version="1.0" encoding="utf-8"?>
<sst xmlns="http://schemas.openxmlformats.org/spreadsheetml/2006/main" count="116" uniqueCount="53">
  <si>
    <t>Units</t>
  </si>
  <si>
    <t>Major</t>
  </si>
  <si>
    <t>Year Level</t>
  </si>
  <si>
    <t>Program</t>
  </si>
  <si>
    <t>Surname</t>
  </si>
  <si>
    <t>First Name</t>
  </si>
  <si>
    <t>Middle Name</t>
  </si>
  <si>
    <t>Checked by:</t>
  </si>
  <si>
    <t>TOTAL</t>
  </si>
  <si>
    <t>Total Units</t>
  </si>
  <si>
    <t>Student No.</t>
  </si>
  <si>
    <t>Course 
Code</t>
  </si>
  <si>
    <t>Course
Code</t>
  </si>
  <si>
    <t>Course
 Code</t>
  </si>
  <si>
    <t>Sex</t>
  </si>
  <si>
    <t>PROGRAM</t>
  </si>
  <si>
    <t>HEI:</t>
  </si>
  <si>
    <t>Address:</t>
  </si>
  <si>
    <t>Academic Year:</t>
  </si>
  <si>
    <t>Term:</t>
  </si>
  <si>
    <t>Count</t>
  </si>
  <si>
    <t>1st Year</t>
  </si>
  <si>
    <t>2nd Year</t>
  </si>
  <si>
    <t>3rd Year</t>
  </si>
  <si>
    <t>4th Year</t>
  </si>
  <si>
    <t>5th Year</t>
  </si>
  <si>
    <t>6th Year</t>
  </si>
  <si>
    <t>7th Year</t>
  </si>
  <si>
    <t>Male</t>
  </si>
  <si>
    <t>Female</t>
  </si>
  <si>
    <t>Total</t>
  </si>
  <si>
    <t>count</t>
  </si>
  <si>
    <t>ENROLMENT SUMMARY</t>
  </si>
  <si>
    <r>
      <t xml:space="preserve">Instruction: Please </t>
    </r>
    <r>
      <rPr>
        <b/>
        <sz val="9"/>
        <color rgb="FFFF0000"/>
        <rFont val="Arial"/>
        <family val="2"/>
      </rPr>
      <t>DO NOT INSERT or DELETE COLUMNS</t>
    </r>
    <r>
      <rPr>
        <b/>
        <sz val="9"/>
        <rFont val="Arial"/>
        <family val="2"/>
      </rPr>
      <t>; insert or delete rows as necessary</t>
    </r>
  </si>
  <si>
    <r>
      <t xml:space="preserve">Instruction: Please </t>
    </r>
    <r>
      <rPr>
        <b/>
        <sz val="11"/>
        <color rgb="FFFF0000"/>
        <rFont val="Arial"/>
        <family val="2"/>
      </rPr>
      <t>DO NOT INSERT or DELETE COLUMNS</t>
    </r>
    <r>
      <rPr>
        <b/>
        <sz val="11"/>
        <color theme="1"/>
        <rFont val="Arial"/>
        <family val="2"/>
      </rPr>
      <t>; insert or delete rows as necessary.</t>
    </r>
  </si>
  <si>
    <t>Course / Subject 1</t>
  </si>
  <si>
    <t>Course / Subject 2</t>
  </si>
  <si>
    <t>Course / Subject 3</t>
  </si>
  <si>
    <t>Course / Subject 4</t>
  </si>
  <si>
    <t>Course / Subject 5</t>
  </si>
  <si>
    <t>Course / Subject 6</t>
  </si>
  <si>
    <t>Course / Subject 7</t>
  </si>
  <si>
    <t>Course / Subject 8</t>
  </si>
  <si>
    <t>Course / Subject 9</t>
  </si>
  <si>
    <t>Course / Subject 10</t>
  </si>
  <si>
    <t>Course / Subject 11</t>
  </si>
  <si>
    <t>Course / Subject 12</t>
  </si>
  <si>
    <t>Course Description 
or 
Descriptive Title</t>
  </si>
  <si>
    <t>Suffix
(Jr., I, II, III)</t>
  </si>
  <si>
    <t>Nationality</t>
  </si>
  <si>
    <t>Prepared by:</t>
  </si>
  <si>
    <t>Admission Officer/
Designated Staff</t>
  </si>
  <si>
    <t>School/University Registrar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</si>
</sst>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7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sz val="9"/>
      <color indexed="62"/>
      <name val="Arial"/>
      <family val="2"/>
    </font>
    <font>
      <sz val="9"/>
      <color indexed="10"/>
      <name val="Arial"/>
      <family val="2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rgb="FFFF0000"/>
      <name val="Arial"/>
      <family val="2"/>
    </font>
    <font>
      <b/>
      <sz val="11"/>
      <color rgb="FFFF0000"/>
      <name val="Arial"/>
      <family val="2"/>
    </font>
    <font>
      <sz val="11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75">
    <xf numFmtId="0" fontId="0" fillId="0" borderId="0" xfId="0"/>
    <xf numFmtId="0" fontId="1" fillId="0" borderId="0" xfId="0" applyFont="1"/>
    <xf numFmtId="0" fontId="1" fillId="0" borderId="1" xfId="0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0" xfId="0" applyFont="1" applyFill="1" applyBorder="1"/>
    <xf numFmtId="0" fontId="1" fillId="0" borderId="1" xfId="0" applyFont="1" applyBorder="1" applyAlignment="1">
      <alignment horizontal="center"/>
    </xf>
    <xf numFmtId="0" fontId="6" fillId="0" borderId="0" xfId="0" applyFont="1"/>
    <xf numFmtId="0" fontId="7" fillId="0" borderId="0" xfId="0" applyFont="1"/>
    <xf numFmtId="0" fontId="10" fillId="0" borderId="0" xfId="0" applyFont="1"/>
    <xf numFmtId="0" fontId="13" fillId="0" borderId="0" xfId="0" applyFont="1"/>
    <xf numFmtId="0" fontId="1" fillId="3" borderId="1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6" borderId="12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7" borderId="1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8" borderId="12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9" borderId="12" xfId="0" applyFont="1" applyFill="1" applyBorder="1" applyAlignment="1">
      <alignment horizontal="center"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10" borderId="12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7" fillId="0" borderId="2" xfId="0" applyFont="1" applyBorder="1" applyAlignment="1">
      <alignment horizontal="left" vertical="top" wrapText="1"/>
    </xf>
    <xf numFmtId="0" fontId="7" fillId="3" borderId="2" xfId="0" applyFont="1" applyFill="1" applyBorder="1" applyAlignment="1">
      <alignment horizontal="left" vertical="top" wrapText="1"/>
    </xf>
    <xf numFmtId="0" fontId="7" fillId="2" borderId="2" xfId="0" applyFont="1" applyFill="1" applyBorder="1" applyAlignment="1">
      <alignment horizontal="left" vertical="top" wrapText="1"/>
    </xf>
    <xf numFmtId="0" fontId="7" fillId="4" borderId="2" xfId="0" applyFont="1" applyFill="1" applyBorder="1" applyAlignment="1">
      <alignment horizontal="left" vertical="top" wrapText="1"/>
    </xf>
    <xf numFmtId="0" fontId="7" fillId="6" borderId="2" xfId="0" applyFont="1" applyFill="1" applyBorder="1" applyAlignment="1">
      <alignment horizontal="left" vertical="top" wrapText="1"/>
    </xf>
    <xf numFmtId="0" fontId="7" fillId="5" borderId="2" xfId="0" applyFont="1" applyFill="1" applyBorder="1" applyAlignment="1">
      <alignment horizontal="left" vertical="top" wrapText="1"/>
    </xf>
    <xf numFmtId="0" fontId="7" fillId="7" borderId="2" xfId="0" applyFont="1" applyFill="1" applyBorder="1" applyAlignment="1">
      <alignment horizontal="left" vertical="top" wrapText="1"/>
    </xf>
    <xf numFmtId="0" fontId="7" fillId="8" borderId="2" xfId="0" applyFont="1" applyFill="1" applyBorder="1" applyAlignment="1">
      <alignment horizontal="left" vertical="top" wrapText="1"/>
    </xf>
    <xf numFmtId="0" fontId="7" fillId="9" borderId="2" xfId="0" applyFont="1" applyFill="1" applyBorder="1" applyAlignment="1">
      <alignment horizontal="left" vertical="top" wrapText="1"/>
    </xf>
    <xf numFmtId="0" fontId="7" fillId="10" borderId="2" xfId="0" applyFont="1" applyFill="1" applyBorder="1" applyAlignment="1">
      <alignment horizontal="left" vertical="top" wrapText="1"/>
    </xf>
    <xf numFmtId="0" fontId="7" fillId="10" borderId="8" xfId="0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left" vertical="top" wrapText="1"/>
    </xf>
    <xf numFmtId="0" fontId="7" fillId="6" borderId="1" xfId="0" applyFont="1" applyFill="1" applyBorder="1" applyAlignment="1">
      <alignment horizontal="left" vertical="top" wrapText="1"/>
    </xf>
    <xf numFmtId="0" fontId="7" fillId="5" borderId="1" xfId="0" applyFont="1" applyFill="1" applyBorder="1" applyAlignment="1">
      <alignment horizontal="left" vertical="top" wrapText="1"/>
    </xf>
    <xf numFmtId="0" fontId="7" fillId="7" borderId="1" xfId="0" applyFont="1" applyFill="1" applyBorder="1" applyAlignment="1">
      <alignment horizontal="left" vertical="top" wrapText="1"/>
    </xf>
    <xf numFmtId="0" fontId="7" fillId="8" borderId="1" xfId="0" applyFont="1" applyFill="1" applyBorder="1" applyAlignment="1">
      <alignment horizontal="left" vertical="top" wrapText="1"/>
    </xf>
    <xf numFmtId="0" fontId="7" fillId="9" borderId="1" xfId="0" applyFont="1" applyFill="1" applyBorder="1" applyAlignment="1">
      <alignment horizontal="left" vertical="top" wrapText="1"/>
    </xf>
    <xf numFmtId="0" fontId="7" fillId="10" borderId="1" xfId="0" applyFont="1" applyFill="1" applyBorder="1" applyAlignment="1">
      <alignment horizontal="left" vertical="top" wrapText="1"/>
    </xf>
    <xf numFmtId="0" fontId="7" fillId="10" borderId="5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43" fontId="7" fillId="0" borderId="0" xfId="1" applyFont="1"/>
    <xf numFmtId="43" fontId="1" fillId="10" borderId="4" xfId="1" applyFont="1" applyFill="1" applyBorder="1" applyAlignment="1">
      <alignment horizontal="center" vertical="center"/>
    </xf>
    <xf numFmtId="43" fontId="7" fillId="10" borderId="8" xfId="1" applyFont="1" applyFill="1" applyBorder="1" applyAlignment="1">
      <alignment horizontal="left" vertical="top" wrapText="1"/>
    </xf>
    <xf numFmtId="43" fontId="7" fillId="10" borderId="5" xfId="1" applyFont="1" applyFill="1" applyBorder="1" applyAlignment="1">
      <alignment horizontal="left" vertical="top" wrapText="1"/>
    </xf>
    <xf numFmtId="43" fontId="1" fillId="9" borderId="4" xfId="1" applyFont="1" applyFill="1" applyBorder="1" applyAlignment="1">
      <alignment horizontal="center" vertical="center"/>
    </xf>
    <xf numFmtId="43" fontId="7" fillId="9" borderId="2" xfId="1" applyFont="1" applyFill="1" applyBorder="1" applyAlignment="1">
      <alignment horizontal="left" vertical="top" wrapText="1"/>
    </xf>
    <xf numFmtId="43" fontId="7" fillId="9" borderId="1" xfId="1" applyFont="1" applyFill="1" applyBorder="1" applyAlignment="1">
      <alignment horizontal="left" vertical="top" wrapText="1"/>
    </xf>
    <xf numFmtId="43" fontId="1" fillId="8" borderId="4" xfId="1" applyFont="1" applyFill="1" applyBorder="1" applyAlignment="1">
      <alignment horizontal="center" vertical="center"/>
    </xf>
    <xf numFmtId="43" fontId="7" fillId="8" borderId="2" xfId="1" applyFont="1" applyFill="1" applyBorder="1" applyAlignment="1">
      <alignment horizontal="left" vertical="top" wrapText="1"/>
    </xf>
    <xf numFmtId="43" fontId="7" fillId="8" borderId="1" xfId="1" applyFont="1" applyFill="1" applyBorder="1" applyAlignment="1">
      <alignment horizontal="left" vertical="top" wrapText="1"/>
    </xf>
    <xf numFmtId="43" fontId="1" fillId="7" borderId="4" xfId="1" applyFont="1" applyFill="1" applyBorder="1" applyAlignment="1">
      <alignment horizontal="center" vertical="center"/>
    </xf>
    <xf numFmtId="43" fontId="7" fillId="7" borderId="2" xfId="1" applyFont="1" applyFill="1" applyBorder="1" applyAlignment="1">
      <alignment horizontal="left" vertical="top" wrapText="1"/>
    </xf>
    <xf numFmtId="43" fontId="7" fillId="7" borderId="1" xfId="1" applyFont="1" applyFill="1" applyBorder="1" applyAlignment="1">
      <alignment horizontal="left" vertical="top" wrapText="1"/>
    </xf>
    <xf numFmtId="43" fontId="1" fillId="5" borderId="4" xfId="1" applyFont="1" applyFill="1" applyBorder="1" applyAlignment="1">
      <alignment horizontal="center" vertical="center"/>
    </xf>
    <xf numFmtId="43" fontId="7" fillId="5" borderId="2" xfId="1" applyFont="1" applyFill="1" applyBorder="1" applyAlignment="1">
      <alignment horizontal="left" vertical="top" wrapText="1"/>
    </xf>
    <xf numFmtId="43" fontId="7" fillId="5" borderId="1" xfId="1" applyFont="1" applyFill="1" applyBorder="1" applyAlignment="1">
      <alignment horizontal="left" vertical="top" wrapText="1"/>
    </xf>
    <xf numFmtId="43" fontId="1" fillId="6" borderId="4" xfId="1" applyFont="1" applyFill="1" applyBorder="1" applyAlignment="1">
      <alignment horizontal="center" vertical="center"/>
    </xf>
    <xf numFmtId="43" fontId="7" fillId="6" borderId="2" xfId="1" applyFont="1" applyFill="1" applyBorder="1" applyAlignment="1">
      <alignment horizontal="left" vertical="top" wrapText="1"/>
    </xf>
    <xf numFmtId="43" fontId="7" fillId="6" borderId="1" xfId="1" applyFont="1" applyFill="1" applyBorder="1" applyAlignment="1">
      <alignment horizontal="left" vertical="top" wrapText="1"/>
    </xf>
    <xf numFmtId="43" fontId="1" fillId="4" borderId="4" xfId="1" applyFont="1" applyFill="1" applyBorder="1" applyAlignment="1">
      <alignment horizontal="center" vertical="center"/>
    </xf>
    <xf numFmtId="43" fontId="7" fillId="4" borderId="2" xfId="1" applyFont="1" applyFill="1" applyBorder="1" applyAlignment="1">
      <alignment horizontal="left" vertical="top" wrapText="1"/>
    </xf>
    <xf numFmtId="43" fontId="7" fillId="4" borderId="1" xfId="1" applyFont="1" applyFill="1" applyBorder="1" applyAlignment="1">
      <alignment horizontal="left" vertical="top" wrapText="1"/>
    </xf>
    <xf numFmtId="43" fontId="1" fillId="2" borderId="4" xfId="1" applyFont="1" applyFill="1" applyBorder="1" applyAlignment="1">
      <alignment horizontal="center" vertical="center"/>
    </xf>
    <xf numFmtId="43" fontId="7" fillId="2" borderId="2" xfId="1" applyFont="1" applyFill="1" applyBorder="1" applyAlignment="1">
      <alignment horizontal="left" vertical="top" wrapText="1"/>
    </xf>
    <xf numFmtId="43" fontId="7" fillId="2" borderId="1" xfId="1" applyFont="1" applyFill="1" applyBorder="1" applyAlignment="1">
      <alignment horizontal="left" vertical="top" wrapText="1"/>
    </xf>
    <xf numFmtId="43" fontId="1" fillId="3" borderId="4" xfId="1" applyFont="1" applyFill="1" applyBorder="1" applyAlignment="1">
      <alignment horizontal="center" vertical="center"/>
    </xf>
    <xf numFmtId="43" fontId="7" fillId="3" borderId="2" xfId="1" applyFont="1" applyFill="1" applyBorder="1" applyAlignment="1">
      <alignment horizontal="left" vertical="top" wrapText="1"/>
    </xf>
    <xf numFmtId="43" fontId="7" fillId="3" borderId="1" xfId="1" applyFont="1" applyFill="1" applyBorder="1" applyAlignment="1">
      <alignment horizontal="left" vertical="top" wrapText="1"/>
    </xf>
    <xf numFmtId="0" fontId="9" fillId="0" borderId="0" xfId="0" applyFont="1"/>
    <xf numFmtId="0" fontId="8" fillId="0" borderId="0" xfId="0" applyFont="1"/>
    <xf numFmtId="0" fontId="10" fillId="0" borderId="18" xfId="0" applyFont="1" applyBorder="1"/>
    <xf numFmtId="0" fontId="10" fillId="0" borderId="19" xfId="0" applyFont="1" applyBorder="1"/>
    <xf numFmtId="0" fontId="1" fillId="11" borderId="12" xfId="0" applyFon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horizontal="center" vertical="center" wrapText="1"/>
    </xf>
    <xf numFmtId="43" fontId="1" fillId="11" borderId="4" xfId="1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left" vertical="top" wrapText="1"/>
    </xf>
    <xf numFmtId="0" fontId="7" fillId="11" borderId="8" xfId="0" applyFont="1" applyFill="1" applyBorder="1" applyAlignment="1">
      <alignment horizontal="left" vertical="top" wrapText="1"/>
    </xf>
    <xf numFmtId="43" fontId="7" fillId="11" borderId="8" xfId="1" applyFont="1" applyFill="1" applyBorder="1" applyAlignment="1">
      <alignment horizontal="left" vertical="top" wrapText="1"/>
    </xf>
    <xf numFmtId="0" fontId="7" fillId="11" borderId="1" xfId="0" applyFont="1" applyFill="1" applyBorder="1" applyAlignment="1">
      <alignment horizontal="left" vertical="top" wrapText="1"/>
    </xf>
    <xf numFmtId="0" fontId="7" fillId="11" borderId="5" xfId="0" applyFont="1" applyFill="1" applyBorder="1" applyAlignment="1">
      <alignment horizontal="left" vertical="top" wrapText="1"/>
    </xf>
    <xf numFmtId="43" fontId="7" fillId="11" borderId="5" xfId="1" applyFont="1" applyFill="1" applyBorder="1" applyAlignment="1">
      <alignment horizontal="left" vertical="top" wrapText="1"/>
    </xf>
    <xf numFmtId="0" fontId="7" fillId="2" borderId="8" xfId="0" applyFont="1" applyFill="1" applyBorder="1" applyAlignment="1">
      <alignment horizontal="left" vertical="top" wrapText="1"/>
    </xf>
    <xf numFmtId="43" fontId="7" fillId="2" borderId="8" xfId="1" applyFont="1" applyFill="1" applyBorder="1" applyAlignment="1">
      <alignment horizontal="left" vertical="top" wrapText="1"/>
    </xf>
    <xf numFmtId="0" fontId="7" fillId="2" borderId="5" xfId="0" applyFont="1" applyFill="1" applyBorder="1" applyAlignment="1">
      <alignment horizontal="left" vertical="top" wrapText="1"/>
    </xf>
    <xf numFmtId="43" fontId="7" fillId="2" borderId="5" xfId="1" applyFont="1" applyFill="1" applyBorder="1" applyAlignment="1">
      <alignment horizontal="left" vertical="top" wrapText="1"/>
    </xf>
    <xf numFmtId="0" fontId="1" fillId="12" borderId="12" xfId="0" applyFont="1" applyFill="1" applyBorder="1" applyAlignment="1">
      <alignment horizontal="center" vertical="center" wrapText="1"/>
    </xf>
    <xf numFmtId="0" fontId="1" fillId="12" borderId="3" xfId="0" applyFont="1" applyFill="1" applyBorder="1" applyAlignment="1">
      <alignment horizontal="center" vertical="center" wrapText="1"/>
    </xf>
    <xf numFmtId="43" fontId="1" fillId="12" borderId="4" xfId="1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left" vertical="top" wrapText="1"/>
    </xf>
    <xf numFmtId="0" fontId="7" fillId="12" borderId="8" xfId="0" applyFont="1" applyFill="1" applyBorder="1" applyAlignment="1">
      <alignment horizontal="left" vertical="top" wrapText="1"/>
    </xf>
    <xf numFmtId="43" fontId="7" fillId="12" borderId="8" xfId="1" applyFont="1" applyFill="1" applyBorder="1" applyAlignment="1">
      <alignment horizontal="left" vertical="top" wrapText="1"/>
    </xf>
    <xf numFmtId="0" fontId="7" fillId="12" borderId="1" xfId="0" applyFont="1" applyFill="1" applyBorder="1" applyAlignment="1">
      <alignment horizontal="left" vertical="top" wrapText="1"/>
    </xf>
    <xf numFmtId="0" fontId="7" fillId="12" borderId="5" xfId="0" applyFont="1" applyFill="1" applyBorder="1" applyAlignment="1">
      <alignment horizontal="left" vertical="top" wrapText="1"/>
    </xf>
    <xf numFmtId="43" fontId="7" fillId="12" borderId="5" xfId="1" applyFont="1" applyFill="1" applyBorder="1" applyAlignment="1">
      <alignment horizontal="left" vertical="top" wrapText="1"/>
    </xf>
    <xf numFmtId="0" fontId="9" fillId="0" borderId="0" xfId="0" applyFont="1" applyFill="1" applyBorder="1"/>
    <xf numFmtId="0" fontId="7" fillId="0" borderId="20" xfId="0" applyFont="1" applyBorder="1"/>
    <xf numFmtId="43" fontId="7" fillId="0" borderId="21" xfId="1" applyFont="1" applyBorder="1" applyAlignment="1">
      <alignment horizontal="left" vertical="top" wrapText="1"/>
    </xf>
    <xf numFmtId="43" fontId="7" fillId="0" borderId="22" xfId="1" applyFont="1" applyBorder="1" applyAlignment="1">
      <alignment horizontal="left" vertical="top" wrapText="1"/>
    </xf>
    <xf numFmtId="0" fontId="16" fillId="0" borderId="23" xfId="0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10" fillId="0" borderId="18" xfId="0" applyFont="1" applyBorder="1" applyAlignment="1"/>
    <xf numFmtId="0" fontId="10" fillId="0" borderId="19" xfId="0" applyFont="1" applyBorder="1" applyAlignment="1"/>
    <xf numFmtId="0" fontId="7" fillId="0" borderId="0" xfId="0" applyFont="1" applyAlignment="1"/>
    <xf numFmtId="0" fontId="16" fillId="0" borderId="23" xfId="0" applyFont="1" applyBorder="1" applyAlignment="1">
      <alignment vertical="center"/>
    </xf>
    <xf numFmtId="0" fontId="10" fillId="0" borderId="0" xfId="0" applyFont="1" applyBorder="1"/>
    <xf numFmtId="0" fontId="16" fillId="0" borderId="24" xfId="0" applyFont="1" applyBorder="1" applyAlignment="1">
      <alignment vertical="center" wrapText="1"/>
    </xf>
    <xf numFmtId="0" fontId="0" fillId="0" borderId="24" xfId="0" applyBorder="1" applyAlignment="1">
      <alignment vertical="top" wrapText="1"/>
    </xf>
    <xf numFmtId="0" fontId="16" fillId="0" borderId="2" xfId="0" applyFont="1" applyBorder="1" applyAlignment="1">
      <alignment vertical="center" wrapText="1"/>
    </xf>
    <xf numFmtId="0" fontId="6" fillId="0" borderId="0" xfId="0" applyFont="1" applyAlignment="1"/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43" fontId="12" fillId="0" borderId="16" xfId="1" applyFont="1" applyBorder="1" applyAlignment="1">
      <alignment horizontal="center" vertical="center"/>
    </xf>
    <xf numFmtId="43" fontId="12" fillId="0" borderId="17" xfId="1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3" borderId="9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12" borderId="13" xfId="0" applyFont="1" applyFill="1" applyBorder="1" applyAlignment="1">
      <alignment horizontal="center"/>
    </xf>
    <xf numFmtId="0" fontId="1" fillId="12" borderId="14" xfId="0" applyFont="1" applyFill="1" applyBorder="1" applyAlignment="1">
      <alignment horizontal="center"/>
    </xf>
    <xf numFmtId="0" fontId="1" fillId="12" borderId="15" xfId="0" applyFont="1" applyFill="1" applyBorder="1" applyAlignment="1">
      <alignment horizontal="center"/>
    </xf>
    <xf numFmtId="0" fontId="1" fillId="9" borderId="13" xfId="0" applyFont="1" applyFill="1" applyBorder="1" applyAlignment="1">
      <alignment horizontal="center"/>
    </xf>
    <xf numFmtId="0" fontId="1" fillId="9" borderId="14" xfId="0" applyFont="1" applyFill="1" applyBorder="1" applyAlignment="1">
      <alignment horizontal="center"/>
    </xf>
    <xf numFmtId="0" fontId="1" fillId="9" borderId="15" xfId="0" applyFont="1" applyFill="1" applyBorder="1" applyAlignment="1">
      <alignment horizontal="center"/>
    </xf>
    <xf numFmtId="0" fontId="1" fillId="8" borderId="13" xfId="0" applyFont="1" applyFill="1" applyBorder="1" applyAlignment="1">
      <alignment horizontal="center"/>
    </xf>
    <xf numFmtId="0" fontId="1" fillId="8" borderId="14" xfId="0" applyFont="1" applyFill="1" applyBorder="1" applyAlignment="1">
      <alignment horizontal="center"/>
    </xf>
    <xf numFmtId="0" fontId="1" fillId="8" borderId="15" xfId="0" applyFont="1" applyFill="1" applyBorder="1" applyAlignment="1">
      <alignment horizontal="center"/>
    </xf>
    <xf numFmtId="0" fontId="1" fillId="10" borderId="13" xfId="0" applyFont="1" applyFill="1" applyBorder="1" applyAlignment="1">
      <alignment horizontal="center"/>
    </xf>
    <xf numFmtId="0" fontId="1" fillId="10" borderId="14" xfId="0" applyFont="1" applyFill="1" applyBorder="1" applyAlignment="1">
      <alignment horizontal="center"/>
    </xf>
    <xf numFmtId="0" fontId="1" fillId="10" borderId="15" xfId="0" applyFont="1" applyFill="1" applyBorder="1" applyAlignment="1">
      <alignment horizontal="center"/>
    </xf>
    <xf numFmtId="0" fontId="1" fillId="11" borderId="13" xfId="0" applyFont="1" applyFill="1" applyBorder="1" applyAlignment="1">
      <alignment horizontal="center"/>
    </xf>
    <xf numFmtId="0" fontId="1" fillId="11" borderId="14" xfId="0" applyFont="1" applyFill="1" applyBorder="1" applyAlignment="1">
      <alignment horizontal="center"/>
    </xf>
    <xf numFmtId="0" fontId="1" fillId="11" borderId="15" xfId="0" applyFont="1" applyFill="1" applyBorder="1" applyAlignment="1">
      <alignment horizontal="center"/>
    </xf>
    <xf numFmtId="0" fontId="1" fillId="7" borderId="13" xfId="0" applyFont="1" applyFill="1" applyBorder="1" applyAlignment="1">
      <alignment horizontal="center"/>
    </xf>
    <xf numFmtId="0" fontId="1" fillId="7" borderId="14" xfId="0" applyFont="1" applyFill="1" applyBorder="1" applyAlignment="1">
      <alignment horizontal="center"/>
    </xf>
    <xf numFmtId="0" fontId="1" fillId="7" borderId="15" xfId="0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6" borderId="13" xfId="0" applyFont="1" applyFill="1" applyBorder="1" applyAlignment="1">
      <alignment horizontal="center"/>
    </xf>
    <xf numFmtId="0" fontId="1" fillId="6" borderId="14" xfId="0" applyFont="1" applyFill="1" applyBorder="1" applyAlignment="1">
      <alignment horizontal="center"/>
    </xf>
    <xf numFmtId="0" fontId="1" fillId="6" borderId="15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0" borderId="16" xfId="0" applyFont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2:AV66"/>
  <sheetViews>
    <sheetView view="pageBreakPreview" zoomScaleSheetLayoutView="100" workbookViewId="0">
      <pane xSplit="11" ySplit="9" topLeftCell="L10" activePane="bottomRight" state="frozen"/>
      <selection pane="topRight" activeCell="H1" sqref="H1"/>
      <selection pane="bottomLeft" activeCell="A8" sqref="A8"/>
      <selection pane="bottomRight" activeCell="D25" sqref="D25"/>
    </sheetView>
  </sheetViews>
  <sheetFormatPr defaultRowHeight="15" x14ac:dyDescent="0.2"/>
  <cols>
    <col min="1" max="1" width="6.7109375" style="9" bestFit="1" customWidth="1"/>
    <col min="2" max="2" width="16.28515625" style="9" customWidth="1"/>
    <col min="3" max="3" width="17.7109375" style="9" bestFit="1" customWidth="1"/>
    <col min="4" max="4" width="20.85546875" style="116" bestFit="1" customWidth="1"/>
    <col min="5" max="5" width="15.42578125" style="9" bestFit="1" customWidth="1"/>
    <col min="6" max="6" width="15.42578125" style="9" customWidth="1"/>
    <col min="7" max="7" width="8.28515625" style="9" bestFit="1" customWidth="1"/>
    <col min="8" max="8" width="9.42578125" style="9" bestFit="1" customWidth="1"/>
    <col min="9" max="9" width="11.85546875" style="9" bestFit="1" customWidth="1"/>
    <col min="10" max="10" width="20.85546875" style="9" bestFit="1" customWidth="1"/>
    <col min="11" max="11" width="11.42578125" style="9" bestFit="1" customWidth="1"/>
    <col min="12" max="12" width="8.140625" style="9" customWidth="1"/>
    <col min="13" max="13" width="20.42578125" style="9" customWidth="1"/>
    <col min="14" max="14" width="6.85546875" style="53" bestFit="1" customWidth="1"/>
    <col min="15" max="15" width="8.140625" style="9" customWidth="1"/>
    <col min="16" max="16" width="17.42578125" style="9" bestFit="1" customWidth="1"/>
    <col min="17" max="17" width="6.140625" style="53" bestFit="1" customWidth="1"/>
    <col min="18" max="18" width="8.140625" style="9" bestFit="1" customWidth="1"/>
    <col min="19" max="19" width="17.42578125" style="9" bestFit="1" customWidth="1"/>
    <col min="20" max="20" width="6.140625" style="53" bestFit="1" customWidth="1"/>
    <col min="21" max="21" width="8.140625" style="9" bestFit="1" customWidth="1"/>
    <col min="22" max="22" width="17.42578125" style="9" bestFit="1" customWidth="1"/>
    <col min="23" max="23" width="6.140625" style="53" bestFit="1" customWidth="1"/>
    <col min="24" max="24" width="8.140625" style="9" bestFit="1" customWidth="1"/>
    <col min="25" max="25" width="17.42578125" style="9" bestFit="1" customWidth="1"/>
    <col min="26" max="26" width="6.140625" style="53" bestFit="1" customWidth="1"/>
    <col min="27" max="27" width="8.140625" style="9" bestFit="1" customWidth="1"/>
    <col min="28" max="28" width="17.42578125" style="9" bestFit="1" customWidth="1"/>
    <col min="29" max="29" width="6.140625" style="53" bestFit="1" customWidth="1"/>
    <col min="30" max="30" width="8.140625" style="9" bestFit="1" customWidth="1"/>
    <col min="31" max="31" width="18.140625" style="9" bestFit="1" customWidth="1"/>
    <col min="32" max="32" width="6" style="53" customWidth="1"/>
    <col min="33" max="33" width="8.140625" style="9" bestFit="1" customWidth="1"/>
    <col min="34" max="34" width="17.42578125" style="9" bestFit="1" customWidth="1"/>
    <col min="35" max="35" width="6.140625" style="53" bestFit="1" customWidth="1"/>
    <col min="36" max="36" width="8.140625" style="9" bestFit="1" customWidth="1"/>
    <col min="37" max="37" width="17.42578125" style="9" bestFit="1" customWidth="1"/>
    <col min="38" max="38" width="7.140625" style="53" bestFit="1" customWidth="1"/>
    <col min="39" max="39" width="8.140625" style="9" bestFit="1" customWidth="1"/>
    <col min="40" max="40" width="17.42578125" style="9" bestFit="1" customWidth="1"/>
    <col min="41" max="41" width="7.140625" style="53" bestFit="1" customWidth="1"/>
    <col min="42" max="42" width="8.140625" style="9" bestFit="1" customWidth="1"/>
    <col min="43" max="43" width="17.42578125" style="9" bestFit="1" customWidth="1"/>
    <col min="44" max="44" width="7.140625" style="53" bestFit="1" customWidth="1"/>
    <col min="45" max="45" width="8.140625" style="9" bestFit="1" customWidth="1"/>
    <col min="46" max="46" width="17.42578125" style="9" bestFit="1" customWidth="1"/>
    <col min="47" max="47" width="7.140625" style="53" bestFit="1" customWidth="1"/>
    <col min="48" max="48" width="11.7109375" style="53" bestFit="1" customWidth="1"/>
    <col min="49" max="16384" width="9.140625" style="9"/>
  </cols>
  <sheetData>
    <row r="2" spans="1:48" ht="15.75" x14ac:dyDescent="0.25">
      <c r="A2" s="8"/>
      <c r="B2" s="82" t="s">
        <v>16</v>
      </c>
      <c r="C2" s="83"/>
      <c r="D2" s="114"/>
      <c r="E2" s="83"/>
      <c r="F2" s="118"/>
    </row>
    <row r="3" spans="1:48" ht="15.75" x14ac:dyDescent="0.25">
      <c r="A3" s="8"/>
      <c r="B3" s="82" t="s">
        <v>17</v>
      </c>
      <c r="C3" s="84"/>
      <c r="D3" s="115"/>
      <c r="E3" s="84"/>
      <c r="F3" s="118"/>
    </row>
    <row r="4" spans="1:48" ht="15.75" x14ac:dyDescent="0.25">
      <c r="A4" s="8"/>
      <c r="B4" s="82" t="s">
        <v>18</v>
      </c>
      <c r="C4" s="84"/>
      <c r="D4" s="115"/>
      <c r="E4" s="84"/>
      <c r="F4" s="118"/>
    </row>
    <row r="5" spans="1:48" ht="15.75" x14ac:dyDescent="0.25">
      <c r="A5" s="8"/>
      <c r="B5" s="82" t="s">
        <v>19</v>
      </c>
      <c r="C5" s="84"/>
      <c r="D5" s="115"/>
      <c r="E5" s="84"/>
      <c r="F5" s="118"/>
    </row>
    <row r="7" spans="1:48" ht="16.5" thickBot="1" x14ac:dyDescent="0.3">
      <c r="A7" s="82" t="s">
        <v>34</v>
      </c>
    </row>
    <row r="8" spans="1:48" s="11" customFormat="1" ht="12" x14ac:dyDescent="0.2">
      <c r="A8" s="128" t="s">
        <v>20</v>
      </c>
      <c r="B8" s="128" t="s">
        <v>10</v>
      </c>
      <c r="C8" s="130" t="s">
        <v>4</v>
      </c>
      <c r="D8" s="130" t="s">
        <v>5</v>
      </c>
      <c r="E8" s="130" t="s">
        <v>6</v>
      </c>
      <c r="F8" s="165" t="s">
        <v>48</v>
      </c>
      <c r="G8" s="130" t="s">
        <v>14</v>
      </c>
      <c r="H8" s="130" t="s">
        <v>49</v>
      </c>
      <c r="I8" s="130" t="s">
        <v>2</v>
      </c>
      <c r="J8" s="130" t="s">
        <v>3</v>
      </c>
      <c r="K8" s="130" t="s">
        <v>1</v>
      </c>
      <c r="L8" s="132" t="s">
        <v>35</v>
      </c>
      <c r="M8" s="133"/>
      <c r="N8" s="134"/>
      <c r="O8" s="135" t="s">
        <v>36</v>
      </c>
      <c r="P8" s="136"/>
      <c r="Q8" s="137"/>
      <c r="R8" s="162" t="s">
        <v>37</v>
      </c>
      <c r="S8" s="163"/>
      <c r="T8" s="164"/>
      <c r="U8" s="159" t="s">
        <v>38</v>
      </c>
      <c r="V8" s="160"/>
      <c r="W8" s="161"/>
      <c r="X8" s="156" t="s">
        <v>39</v>
      </c>
      <c r="Y8" s="157"/>
      <c r="Z8" s="158"/>
      <c r="AA8" s="153" t="s">
        <v>40</v>
      </c>
      <c r="AB8" s="154"/>
      <c r="AC8" s="155"/>
      <c r="AD8" s="144" t="s">
        <v>41</v>
      </c>
      <c r="AE8" s="145"/>
      <c r="AF8" s="146"/>
      <c r="AG8" s="141" t="s">
        <v>42</v>
      </c>
      <c r="AH8" s="142"/>
      <c r="AI8" s="143"/>
      <c r="AJ8" s="147" t="s">
        <v>43</v>
      </c>
      <c r="AK8" s="148"/>
      <c r="AL8" s="149"/>
      <c r="AM8" s="150" t="s">
        <v>44</v>
      </c>
      <c r="AN8" s="151"/>
      <c r="AO8" s="152"/>
      <c r="AP8" s="123" t="s">
        <v>45</v>
      </c>
      <c r="AQ8" s="124"/>
      <c r="AR8" s="125"/>
      <c r="AS8" s="138" t="s">
        <v>46</v>
      </c>
      <c r="AT8" s="139"/>
      <c r="AU8" s="140"/>
      <c r="AV8" s="126" t="s">
        <v>9</v>
      </c>
    </row>
    <row r="9" spans="1:48" s="30" customFormat="1" ht="36.75" thickBot="1" x14ac:dyDescent="0.3">
      <c r="A9" s="129"/>
      <c r="B9" s="129"/>
      <c r="C9" s="131"/>
      <c r="D9" s="131"/>
      <c r="E9" s="131"/>
      <c r="F9" s="131"/>
      <c r="G9" s="131"/>
      <c r="H9" s="131"/>
      <c r="I9" s="131"/>
      <c r="J9" s="131"/>
      <c r="K9" s="131"/>
      <c r="L9" s="12" t="s">
        <v>12</v>
      </c>
      <c r="M9" s="13" t="s">
        <v>47</v>
      </c>
      <c r="N9" s="78" t="s">
        <v>0</v>
      </c>
      <c r="O9" s="14" t="s">
        <v>12</v>
      </c>
      <c r="P9" s="15" t="s">
        <v>47</v>
      </c>
      <c r="Q9" s="75" t="s">
        <v>0</v>
      </c>
      <c r="R9" s="16" t="s">
        <v>11</v>
      </c>
      <c r="S9" s="17" t="s">
        <v>47</v>
      </c>
      <c r="T9" s="72" t="s">
        <v>0</v>
      </c>
      <c r="U9" s="18" t="s">
        <v>12</v>
      </c>
      <c r="V9" s="19" t="s">
        <v>47</v>
      </c>
      <c r="W9" s="69" t="s">
        <v>0</v>
      </c>
      <c r="X9" s="20" t="s">
        <v>11</v>
      </c>
      <c r="Y9" s="21" t="s">
        <v>47</v>
      </c>
      <c r="Z9" s="66" t="s">
        <v>0</v>
      </c>
      <c r="AA9" s="22" t="s">
        <v>11</v>
      </c>
      <c r="AB9" s="23" t="s">
        <v>47</v>
      </c>
      <c r="AC9" s="63" t="s">
        <v>0</v>
      </c>
      <c r="AD9" s="24" t="s">
        <v>13</v>
      </c>
      <c r="AE9" s="25" t="s">
        <v>47</v>
      </c>
      <c r="AF9" s="60" t="s">
        <v>0</v>
      </c>
      <c r="AG9" s="26" t="s">
        <v>11</v>
      </c>
      <c r="AH9" s="27" t="s">
        <v>47</v>
      </c>
      <c r="AI9" s="57" t="s">
        <v>0</v>
      </c>
      <c r="AJ9" s="28" t="s">
        <v>11</v>
      </c>
      <c r="AK9" s="29" t="s">
        <v>47</v>
      </c>
      <c r="AL9" s="54" t="s">
        <v>0</v>
      </c>
      <c r="AM9" s="85" t="s">
        <v>11</v>
      </c>
      <c r="AN9" s="86" t="s">
        <v>47</v>
      </c>
      <c r="AO9" s="87" t="s">
        <v>0</v>
      </c>
      <c r="AP9" s="14" t="s">
        <v>11</v>
      </c>
      <c r="AQ9" s="15" t="s">
        <v>47</v>
      </c>
      <c r="AR9" s="75" t="s">
        <v>0</v>
      </c>
      <c r="AS9" s="98" t="s">
        <v>11</v>
      </c>
      <c r="AT9" s="99" t="s">
        <v>47</v>
      </c>
      <c r="AU9" s="100" t="s">
        <v>0</v>
      </c>
      <c r="AV9" s="127"/>
    </row>
    <row r="10" spans="1:48" x14ac:dyDescent="0.2">
      <c r="A10" s="108">
        <v>1</v>
      </c>
      <c r="B10" s="31"/>
      <c r="C10" s="111"/>
      <c r="D10" s="117"/>
      <c r="E10" s="119"/>
      <c r="F10" s="121"/>
      <c r="G10" s="31"/>
      <c r="H10" s="31"/>
      <c r="I10" s="31"/>
      <c r="J10" s="31"/>
      <c r="K10" s="31"/>
      <c r="L10" s="32"/>
      <c r="M10" s="32"/>
      <c r="N10" s="79">
        <v>0</v>
      </c>
      <c r="O10" s="33"/>
      <c r="P10" s="33"/>
      <c r="Q10" s="76">
        <v>0</v>
      </c>
      <c r="R10" s="34"/>
      <c r="S10" s="34"/>
      <c r="T10" s="73">
        <v>0</v>
      </c>
      <c r="U10" s="35"/>
      <c r="V10" s="35"/>
      <c r="W10" s="70">
        <v>0</v>
      </c>
      <c r="X10" s="36"/>
      <c r="Y10" s="36"/>
      <c r="Z10" s="67">
        <v>0</v>
      </c>
      <c r="AA10" s="37"/>
      <c r="AB10" s="37"/>
      <c r="AC10" s="64">
        <v>0</v>
      </c>
      <c r="AD10" s="38"/>
      <c r="AE10" s="38"/>
      <c r="AF10" s="61">
        <v>0</v>
      </c>
      <c r="AG10" s="39"/>
      <c r="AH10" s="39"/>
      <c r="AI10" s="58">
        <v>0</v>
      </c>
      <c r="AJ10" s="40"/>
      <c r="AK10" s="41"/>
      <c r="AL10" s="55">
        <v>0</v>
      </c>
      <c r="AM10" s="88"/>
      <c r="AN10" s="89"/>
      <c r="AO10" s="90">
        <v>0</v>
      </c>
      <c r="AP10" s="33"/>
      <c r="AQ10" s="94"/>
      <c r="AR10" s="95">
        <v>0</v>
      </c>
      <c r="AS10" s="101"/>
      <c r="AT10" s="102"/>
      <c r="AU10" s="103">
        <v>0</v>
      </c>
      <c r="AV10" s="109">
        <f>AU10+AI10+AF10+AC10+Z10+W10+T10+Q10+N10</f>
        <v>0</v>
      </c>
    </row>
    <row r="11" spans="1:48" x14ac:dyDescent="0.2">
      <c r="A11" s="108">
        <f>A10+1</f>
        <v>2</v>
      </c>
      <c r="B11" s="31"/>
      <c r="C11" s="111"/>
      <c r="D11" s="117"/>
      <c r="E11" s="119"/>
      <c r="F11" s="112"/>
      <c r="G11" s="52"/>
      <c r="H11" s="31"/>
      <c r="I11" s="31"/>
      <c r="J11" s="31"/>
      <c r="K11" s="31"/>
      <c r="L11" s="42"/>
      <c r="M11" s="42"/>
      <c r="N11" s="80">
        <v>0</v>
      </c>
      <c r="O11" s="43"/>
      <c r="P11" s="43"/>
      <c r="Q11" s="77">
        <v>0</v>
      </c>
      <c r="R11" s="44"/>
      <c r="S11" s="44"/>
      <c r="T11" s="74">
        <v>0</v>
      </c>
      <c r="U11" s="45"/>
      <c r="V11" s="45"/>
      <c r="W11" s="71">
        <v>0</v>
      </c>
      <c r="X11" s="46"/>
      <c r="Y11" s="46"/>
      <c r="Z11" s="68">
        <v>0</v>
      </c>
      <c r="AA11" s="47"/>
      <c r="AB11" s="47"/>
      <c r="AC11" s="65">
        <v>0</v>
      </c>
      <c r="AD11" s="48"/>
      <c r="AE11" s="48"/>
      <c r="AF11" s="62">
        <v>0</v>
      </c>
      <c r="AG11" s="49"/>
      <c r="AH11" s="49"/>
      <c r="AI11" s="59">
        <v>0</v>
      </c>
      <c r="AJ11" s="50"/>
      <c r="AK11" s="51"/>
      <c r="AL11" s="56">
        <v>0</v>
      </c>
      <c r="AM11" s="91"/>
      <c r="AN11" s="92"/>
      <c r="AO11" s="93">
        <v>0</v>
      </c>
      <c r="AP11" s="43"/>
      <c r="AQ11" s="96"/>
      <c r="AR11" s="97">
        <v>0</v>
      </c>
      <c r="AS11" s="104"/>
      <c r="AT11" s="105"/>
      <c r="AU11" s="106">
        <v>0</v>
      </c>
      <c r="AV11" s="110">
        <f>AU11+AI11+AF11+AC11+Z11+W11+T11+Q11+N11</f>
        <v>0</v>
      </c>
    </row>
    <row r="12" spans="1:48" x14ac:dyDescent="0.2">
      <c r="A12" s="108">
        <f t="shared" ref="A12:A59" si="0">A11+1</f>
        <v>3</v>
      </c>
      <c r="B12" s="31"/>
      <c r="C12" s="111"/>
      <c r="D12" s="117"/>
      <c r="E12" s="119"/>
      <c r="F12" s="112"/>
      <c r="G12" s="52"/>
      <c r="H12" s="31"/>
      <c r="I12" s="31"/>
      <c r="J12" s="31"/>
      <c r="K12" s="31"/>
      <c r="L12" s="42"/>
      <c r="M12" s="42"/>
      <c r="N12" s="80">
        <v>0</v>
      </c>
      <c r="O12" s="43"/>
      <c r="P12" s="43"/>
      <c r="Q12" s="77">
        <v>0</v>
      </c>
      <c r="R12" s="44"/>
      <c r="S12" s="44"/>
      <c r="T12" s="74">
        <v>0</v>
      </c>
      <c r="U12" s="45"/>
      <c r="V12" s="45"/>
      <c r="W12" s="71">
        <v>0</v>
      </c>
      <c r="X12" s="46"/>
      <c r="Y12" s="46"/>
      <c r="Z12" s="68">
        <v>0</v>
      </c>
      <c r="AA12" s="47"/>
      <c r="AB12" s="47"/>
      <c r="AC12" s="65">
        <v>0</v>
      </c>
      <c r="AD12" s="48"/>
      <c r="AE12" s="48"/>
      <c r="AF12" s="62">
        <v>0</v>
      </c>
      <c r="AG12" s="49"/>
      <c r="AH12" s="49"/>
      <c r="AI12" s="59">
        <v>0</v>
      </c>
      <c r="AJ12" s="50"/>
      <c r="AK12" s="51"/>
      <c r="AL12" s="56">
        <v>0</v>
      </c>
      <c r="AM12" s="91"/>
      <c r="AN12" s="92"/>
      <c r="AO12" s="93">
        <v>0</v>
      </c>
      <c r="AP12" s="43"/>
      <c r="AQ12" s="96"/>
      <c r="AR12" s="97">
        <v>0</v>
      </c>
      <c r="AS12" s="104"/>
      <c r="AT12" s="105"/>
      <c r="AU12" s="106">
        <v>0</v>
      </c>
      <c r="AV12" s="110">
        <f t="shared" ref="AV12:AV59" si="1">AU12+AI12+AF12+AC12+Z12+W12+T12+Q12+N12</f>
        <v>0</v>
      </c>
    </row>
    <row r="13" spans="1:48" x14ac:dyDescent="0.2">
      <c r="A13" s="108">
        <f t="shared" si="0"/>
        <v>4</v>
      </c>
      <c r="B13" s="31"/>
      <c r="C13" s="111"/>
      <c r="D13" s="117"/>
      <c r="E13" s="119"/>
      <c r="F13" s="112"/>
      <c r="G13" s="52"/>
      <c r="H13" s="31"/>
      <c r="I13" s="31"/>
      <c r="J13" s="31"/>
      <c r="K13" s="31"/>
      <c r="L13" s="42"/>
      <c r="M13" s="42"/>
      <c r="N13" s="80">
        <v>0</v>
      </c>
      <c r="O13" s="43"/>
      <c r="P13" s="43"/>
      <c r="Q13" s="77">
        <v>0</v>
      </c>
      <c r="R13" s="44"/>
      <c r="S13" s="44"/>
      <c r="T13" s="74">
        <v>0</v>
      </c>
      <c r="U13" s="45"/>
      <c r="V13" s="45"/>
      <c r="W13" s="71">
        <v>0</v>
      </c>
      <c r="X13" s="46"/>
      <c r="Y13" s="46"/>
      <c r="Z13" s="68">
        <v>0</v>
      </c>
      <c r="AA13" s="47"/>
      <c r="AB13" s="47"/>
      <c r="AC13" s="65">
        <v>0</v>
      </c>
      <c r="AD13" s="48"/>
      <c r="AE13" s="48"/>
      <c r="AF13" s="62">
        <v>0</v>
      </c>
      <c r="AG13" s="49"/>
      <c r="AH13" s="49"/>
      <c r="AI13" s="59">
        <v>0</v>
      </c>
      <c r="AJ13" s="50"/>
      <c r="AK13" s="51"/>
      <c r="AL13" s="56">
        <v>0</v>
      </c>
      <c r="AM13" s="91"/>
      <c r="AN13" s="92"/>
      <c r="AO13" s="93">
        <v>0</v>
      </c>
      <c r="AP13" s="43"/>
      <c r="AQ13" s="96"/>
      <c r="AR13" s="97">
        <v>0</v>
      </c>
      <c r="AS13" s="104"/>
      <c r="AT13" s="105"/>
      <c r="AU13" s="106">
        <v>0</v>
      </c>
      <c r="AV13" s="110">
        <f t="shared" si="1"/>
        <v>0</v>
      </c>
    </row>
    <row r="14" spans="1:48" x14ac:dyDescent="0.2">
      <c r="A14" s="108">
        <f t="shared" si="0"/>
        <v>5</v>
      </c>
      <c r="B14" s="31"/>
      <c r="C14" s="111"/>
      <c r="D14" s="117"/>
      <c r="E14" s="119"/>
      <c r="F14" s="112"/>
      <c r="G14" s="52"/>
      <c r="H14" s="31"/>
      <c r="I14" s="31"/>
      <c r="J14" s="31"/>
      <c r="K14" s="31"/>
      <c r="L14" s="42"/>
      <c r="M14" s="42"/>
      <c r="N14" s="80">
        <v>0</v>
      </c>
      <c r="O14" s="43"/>
      <c r="P14" s="43"/>
      <c r="Q14" s="77">
        <v>0</v>
      </c>
      <c r="R14" s="44"/>
      <c r="S14" s="44"/>
      <c r="T14" s="74">
        <v>0</v>
      </c>
      <c r="U14" s="45"/>
      <c r="V14" s="45"/>
      <c r="W14" s="71">
        <v>0</v>
      </c>
      <c r="X14" s="46"/>
      <c r="Y14" s="46"/>
      <c r="Z14" s="68">
        <v>0</v>
      </c>
      <c r="AA14" s="47"/>
      <c r="AB14" s="47"/>
      <c r="AC14" s="65">
        <v>0</v>
      </c>
      <c r="AD14" s="48"/>
      <c r="AE14" s="48"/>
      <c r="AF14" s="62">
        <v>0</v>
      </c>
      <c r="AG14" s="49"/>
      <c r="AH14" s="49"/>
      <c r="AI14" s="59">
        <v>0</v>
      </c>
      <c r="AJ14" s="50"/>
      <c r="AK14" s="51"/>
      <c r="AL14" s="56">
        <v>0</v>
      </c>
      <c r="AM14" s="91"/>
      <c r="AN14" s="92"/>
      <c r="AO14" s="93">
        <v>0</v>
      </c>
      <c r="AP14" s="43"/>
      <c r="AQ14" s="96"/>
      <c r="AR14" s="97">
        <v>0</v>
      </c>
      <c r="AS14" s="104"/>
      <c r="AT14" s="105"/>
      <c r="AU14" s="106">
        <v>0</v>
      </c>
      <c r="AV14" s="110">
        <f t="shared" si="1"/>
        <v>0</v>
      </c>
    </row>
    <row r="15" spans="1:48" x14ac:dyDescent="0.2">
      <c r="A15" s="108">
        <f t="shared" si="0"/>
        <v>6</v>
      </c>
      <c r="B15" s="31"/>
      <c r="C15" s="111"/>
      <c r="D15" s="117"/>
      <c r="E15" s="119"/>
      <c r="F15" s="112"/>
      <c r="G15" s="52"/>
      <c r="H15" s="31"/>
      <c r="I15" s="31"/>
      <c r="J15" s="31"/>
      <c r="K15" s="31"/>
      <c r="L15" s="42"/>
      <c r="M15" s="42"/>
      <c r="N15" s="80">
        <v>0</v>
      </c>
      <c r="O15" s="43"/>
      <c r="P15" s="43"/>
      <c r="Q15" s="77">
        <v>0</v>
      </c>
      <c r="R15" s="44"/>
      <c r="S15" s="44"/>
      <c r="T15" s="74">
        <v>0</v>
      </c>
      <c r="U15" s="45"/>
      <c r="V15" s="45"/>
      <c r="W15" s="71">
        <v>0</v>
      </c>
      <c r="X15" s="46"/>
      <c r="Y15" s="46"/>
      <c r="Z15" s="68">
        <v>0</v>
      </c>
      <c r="AA15" s="47"/>
      <c r="AB15" s="47"/>
      <c r="AC15" s="65">
        <v>0</v>
      </c>
      <c r="AD15" s="48"/>
      <c r="AE15" s="48"/>
      <c r="AF15" s="62">
        <v>0</v>
      </c>
      <c r="AG15" s="49"/>
      <c r="AH15" s="49"/>
      <c r="AI15" s="59">
        <v>0</v>
      </c>
      <c r="AJ15" s="50"/>
      <c r="AK15" s="51"/>
      <c r="AL15" s="56">
        <v>0</v>
      </c>
      <c r="AM15" s="91"/>
      <c r="AN15" s="92"/>
      <c r="AO15" s="93">
        <v>0</v>
      </c>
      <c r="AP15" s="43"/>
      <c r="AQ15" s="96"/>
      <c r="AR15" s="97">
        <v>0</v>
      </c>
      <c r="AS15" s="104"/>
      <c r="AT15" s="105"/>
      <c r="AU15" s="106">
        <v>0</v>
      </c>
      <c r="AV15" s="110">
        <f t="shared" si="1"/>
        <v>0</v>
      </c>
    </row>
    <row r="16" spans="1:48" x14ac:dyDescent="0.2">
      <c r="A16" s="108">
        <f t="shared" si="0"/>
        <v>7</v>
      </c>
      <c r="B16" s="31"/>
      <c r="C16" s="111"/>
      <c r="D16" s="117"/>
      <c r="E16" s="119"/>
      <c r="F16" s="112"/>
      <c r="G16" s="52"/>
      <c r="H16" s="31"/>
      <c r="I16" s="31"/>
      <c r="J16" s="31"/>
      <c r="K16" s="31"/>
      <c r="L16" s="42"/>
      <c r="M16" s="42"/>
      <c r="N16" s="80">
        <v>0</v>
      </c>
      <c r="O16" s="43"/>
      <c r="P16" s="43"/>
      <c r="Q16" s="77">
        <v>0</v>
      </c>
      <c r="R16" s="44"/>
      <c r="S16" s="44"/>
      <c r="T16" s="74">
        <v>0</v>
      </c>
      <c r="U16" s="45"/>
      <c r="V16" s="45"/>
      <c r="W16" s="71">
        <v>0</v>
      </c>
      <c r="X16" s="46"/>
      <c r="Y16" s="46"/>
      <c r="Z16" s="68">
        <v>0</v>
      </c>
      <c r="AA16" s="47"/>
      <c r="AB16" s="47"/>
      <c r="AC16" s="65">
        <v>0</v>
      </c>
      <c r="AD16" s="48"/>
      <c r="AE16" s="48"/>
      <c r="AF16" s="62">
        <v>0</v>
      </c>
      <c r="AG16" s="49"/>
      <c r="AH16" s="49"/>
      <c r="AI16" s="59">
        <v>0</v>
      </c>
      <c r="AJ16" s="50"/>
      <c r="AK16" s="51"/>
      <c r="AL16" s="56">
        <v>0</v>
      </c>
      <c r="AM16" s="91"/>
      <c r="AN16" s="92"/>
      <c r="AO16" s="93">
        <v>0</v>
      </c>
      <c r="AP16" s="43"/>
      <c r="AQ16" s="96"/>
      <c r="AR16" s="97">
        <v>0</v>
      </c>
      <c r="AS16" s="104"/>
      <c r="AT16" s="105"/>
      <c r="AU16" s="106">
        <v>0</v>
      </c>
      <c r="AV16" s="110">
        <f t="shared" si="1"/>
        <v>0</v>
      </c>
    </row>
    <row r="17" spans="1:48" x14ac:dyDescent="0.2">
      <c r="A17" s="108">
        <f t="shared" si="0"/>
        <v>8</v>
      </c>
      <c r="B17" s="31"/>
      <c r="C17" s="111"/>
      <c r="D17" s="117"/>
      <c r="E17" s="119"/>
      <c r="F17" s="112"/>
      <c r="G17" s="52"/>
      <c r="H17" s="31"/>
      <c r="I17" s="31"/>
      <c r="J17" s="31"/>
      <c r="K17" s="31"/>
      <c r="L17" s="42"/>
      <c r="M17" s="42"/>
      <c r="N17" s="80">
        <v>0</v>
      </c>
      <c r="O17" s="43"/>
      <c r="P17" s="43"/>
      <c r="Q17" s="77">
        <v>0</v>
      </c>
      <c r="R17" s="44"/>
      <c r="S17" s="44"/>
      <c r="T17" s="74">
        <v>0</v>
      </c>
      <c r="U17" s="45"/>
      <c r="V17" s="45"/>
      <c r="W17" s="71">
        <v>0</v>
      </c>
      <c r="X17" s="46"/>
      <c r="Y17" s="46"/>
      <c r="Z17" s="68">
        <v>0</v>
      </c>
      <c r="AA17" s="47"/>
      <c r="AB17" s="47"/>
      <c r="AC17" s="65">
        <v>0</v>
      </c>
      <c r="AD17" s="48"/>
      <c r="AE17" s="48"/>
      <c r="AF17" s="62">
        <v>0</v>
      </c>
      <c r="AG17" s="49"/>
      <c r="AH17" s="49"/>
      <c r="AI17" s="59">
        <v>0</v>
      </c>
      <c r="AJ17" s="50"/>
      <c r="AK17" s="51"/>
      <c r="AL17" s="56">
        <v>0</v>
      </c>
      <c r="AM17" s="91"/>
      <c r="AN17" s="92"/>
      <c r="AO17" s="93">
        <v>0</v>
      </c>
      <c r="AP17" s="43"/>
      <c r="AQ17" s="96"/>
      <c r="AR17" s="97">
        <v>0</v>
      </c>
      <c r="AS17" s="104"/>
      <c r="AT17" s="105"/>
      <c r="AU17" s="106">
        <v>0</v>
      </c>
      <c r="AV17" s="110">
        <f t="shared" si="1"/>
        <v>0</v>
      </c>
    </row>
    <row r="18" spans="1:48" x14ac:dyDescent="0.2">
      <c r="A18" s="108">
        <f t="shared" si="0"/>
        <v>9</v>
      </c>
      <c r="B18" s="31"/>
      <c r="C18" s="111"/>
      <c r="D18" s="117"/>
      <c r="E18" s="119"/>
      <c r="F18" s="112"/>
      <c r="G18" s="52"/>
      <c r="H18" s="31"/>
      <c r="I18" s="31"/>
      <c r="J18" s="31"/>
      <c r="K18" s="31"/>
      <c r="L18" s="42"/>
      <c r="M18" s="42"/>
      <c r="N18" s="80">
        <v>0</v>
      </c>
      <c r="O18" s="43"/>
      <c r="P18" s="43"/>
      <c r="Q18" s="77">
        <v>0</v>
      </c>
      <c r="R18" s="44"/>
      <c r="S18" s="44"/>
      <c r="T18" s="74">
        <v>0</v>
      </c>
      <c r="U18" s="45"/>
      <c r="V18" s="45"/>
      <c r="W18" s="71">
        <v>0</v>
      </c>
      <c r="X18" s="46"/>
      <c r="Y18" s="46"/>
      <c r="Z18" s="68">
        <v>0</v>
      </c>
      <c r="AA18" s="47"/>
      <c r="AB18" s="47"/>
      <c r="AC18" s="65">
        <v>0</v>
      </c>
      <c r="AD18" s="48"/>
      <c r="AE18" s="48"/>
      <c r="AF18" s="62">
        <v>0</v>
      </c>
      <c r="AG18" s="49"/>
      <c r="AH18" s="49"/>
      <c r="AI18" s="59">
        <v>0</v>
      </c>
      <c r="AJ18" s="50"/>
      <c r="AK18" s="51"/>
      <c r="AL18" s="56">
        <v>0</v>
      </c>
      <c r="AM18" s="91"/>
      <c r="AN18" s="92"/>
      <c r="AO18" s="93">
        <v>0</v>
      </c>
      <c r="AP18" s="43"/>
      <c r="AQ18" s="96"/>
      <c r="AR18" s="97">
        <v>0</v>
      </c>
      <c r="AS18" s="104"/>
      <c r="AT18" s="105"/>
      <c r="AU18" s="106">
        <v>0</v>
      </c>
      <c r="AV18" s="110">
        <f t="shared" si="1"/>
        <v>0</v>
      </c>
    </row>
    <row r="19" spans="1:48" x14ac:dyDescent="0.2">
      <c r="A19" s="108">
        <f t="shared" si="0"/>
        <v>10</v>
      </c>
      <c r="B19" s="31"/>
      <c r="C19" s="111"/>
      <c r="D19" s="117"/>
      <c r="E19" s="119"/>
      <c r="F19" s="112"/>
      <c r="G19" s="52"/>
      <c r="H19" s="31"/>
      <c r="I19" s="31"/>
      <c r="J19" s="31"/>
      <c r="K19" s="31"/>
      <c r="L19" s="42"/>
      <c r="M19" s="42"/>
      <c r="N19" s="80">
        <v>0</v>
      </c>
      <c r="O19" s="43"/>
      <c r="P19" s="43"/>
      <c r="Q19" s="77">
        <v>0</v>
      </c>
      <c r="R19" s="44"/>
      <c r="S19" s="44"/>
      <c r="T19" s="74">
        <v>0</v>
      </c>
      <c r="U19" s="45"/>
      <c r="V19" s="45"/>
      <c r="W19" s="71">
        <v>0</v>
      </c>
      <c r="X19" s="46"/>
      <c r="Y19" s="46"/>
      <c r="Z19" s="68">
        <v>0</v>
      </c>
      <c r="AA19" s="47"/>
      <c r="AB19" s="47"/>
      <c r="AC19" s="65">
        <v>0</v>
      </c>
      <c r="AD19" s="48"/>
      <c r="AE19" s="48"/>
      <c r="AF19" s="62">
        <v>0</v>
      </c>
      <c r="AG19" s="49"/>
      <c r="AH19" s="49"/>
      <c r="AI19" s="59">
        <v>0</v>
      </c>
      <c r="AJ19" s="50"/>
      <c r="AK19" s="51"/>
      <c r="AL19" s="56">
        <v>0</v>
      </c>
      <c r="AM19" s="91"/>
      <c r="AN19" s="92"/>
      <c r="AO19" s="93">
        <v>0</v>
      </c>
      <c r="AP19" s="43"/>
      <c r="AQ19" s="96"/>
      <c r="AR19" s="97">
        <v>0</v>
      </c>
      <c r="AS19" s="104"/>
      <c r="AT19" s="105"/>
      <c r="AU19" s="106">
        <v>0</v>
      </c>
      <c r="AV19" s="110">
        <f t="shared" si="1"/>
        <v>0</v>
      </c>
    </row>
    <row r="20" spans="1:48" x14ac:dyDescent="0.2">
      <c r="A20" s="108">
        <f>A19+1</f>
        <v>11</v>
      </c>
      <c r="B20" s="31"/>
      <c r="C20" s="111"/>
      <c r="D20" s="117"/>
      <c r="E20" s="119"/>
      <c r="F20" s="112"/>
      <c r="G20" s="52"/>
      <c r="H20" s="31"/>
      <c r="I20" s="31"/>
      <c r="J20" s="31"/>
      <c r="K20" s="31"/>
      <c r="L20" s="42"/>
      <c r="M20" s="42"/>
      <c r="N20" s="80">
        <v>0</v>
      </c>
      <c r="O20" s="43"/>
      <c r="P20" s="43"/>
      <c r="Q20" s="77">
        <v>0</v>
      </c>
      <c r="R20" s="44"/>
      <c r="S20" s="44"/>
      <c r="T20" s="74">
        <v>0</v>
      </c>
      <c r="U20" s="45"/>
      <c r="V20" s="45"/>
      <c r="W20" s="71">
        <v>0</v>
      </c>
      <c r="X20" s="46"/>
      <c r="Y20" s="46"/>
      <c r="Z20" s="68">
        <v>0</v>
      </c>
      <c r="AA20" s="47"/>
      <c r="AB20" s="47"/>
      <c r="AC20" s="65">
        <v>0</v>
      </c>
      <c r="AD20" s="48"/>
      <c r="AE20" s="48"/>
      <c r="AF20" s="62">
        <v>0</v>
      </c>
      <c r="AG20" s="49"/>
      <c r="AH20" s="49"/>
      <c r="AI20" s="59">
        <v>0</v>
      </c>
      <c r="AJ20" s="50"/>
      <c r="AK20" s="51"/>
      <c r="AL20" s="56">
        <v>0</v>
      </c>
      <c r="AM20" s="91"/>
      <c r="AN20" s="92"/>
      <c r="AO20" s="93">
        <v>0</v>
      </c>
      <c r="AP20" s="43"/>
      <c r="AQ20" s="96"/>
      <c r="AR20" s="97">
        <v>0</v>
      </c>
      <c r="AS20" s="104"/>
      <c r="AT20" s="105"/>
      <c r="AU20" s="106">
        <v>0</v>
      </c>
      <c r="AV20" s="110">
        <f t="shared" si="1"/>
        <v>0</v>
      </c>
    </row>
    <row r="21" spans="1:48" x14ac:dyDescent="0.2">
      <c r="A21" s="108">
        <f t="shared" si="0"/>
        <v>12</v>
      </c>
      <c r="B21" s="52"/>
      <c r="C21" s="111"/>
      <c r="D21" s="117"/>
      <c r="E21" s="119"/>
      <c r="F21" s="112"/>
      <c r="G21" s="52"/>
      <c r="H21" s="52"/>
      <c r="I21" s="31"/>
      <c r="J21" s="31"/>
      <c r="K21" s="52"/>
      <c r="L21" s="42"/>
      <c r="M21" s="42"/>
      <c r="N21" s="80">
        <v>0</v>
      </c>
      <c r="O21" s="43"/>
      <c r="P21" s="43"/>
      <c r="Q21" s="77">
        <v>0</v>
      </c>
      <c r="R21" s="44"/>
      <c r="S21" s="44"/>
      <c r="T21" s="74">
        <v>0</v>
      </c>
      <c r="U21" s="45"/>
      <c r="V21" s="45"/>
      <c r="W21" s="71">
        <v>0</v>
      </c>
      <c r="X21" s="46"/>
      <c r="Y21" s="46"/>
      <c r="Z21" s="68">
        <v>0</v>
      </c>
      <c r="AA21" s="47"/>
      <c r="AB21" s="47"/>
      <c r="AC21" s="65">
        <v>0</v>
      </c>
      <c r="AD21" s="48"/>
      <c r="AE21" s="48"/>
      <c r="AF21" s="62">
        <v>0</v>
      </c>
      <c r="AG21" s="49"/>
      <c r="AH21" s="49"/>
      <c r="AI21" s="59">
        <v>0</v>
      </c>
      <c r="AJ21" s="50"/>
      <c r="AK21" s="51"/>
      <c r="AL21" s="56">
        <v>0</v>
      </c>
      <c r="AM21" s="91"/>
      <c r="AN21" s="92"/>
      <c r="AO21" s="93">
        <v>0</v>
      </c>
      <c r="AP21" s="43"/>
      <c r="AQ21" s="96"/>
      <c r="AR21" s="97">
        <v>0</v>
      </c>
      <c r="AS21" s="104"/>
      <c r="AT21" s="105"/>
      <c r="AU21" s="106">
        <v>0</v>
      </c>
      <c r="AV21" s="110">
        <f t="shared" si="1"/>
        <v>0</v>
      </c>
    </row>
    <row r="22" spans="1:48" x14ac:dyDescent="0.2">
      <c r="A22" s="108">
        <f t="shared" si="0"/>
        <v>13</v>
      </c>
      <c r="B22" s="52"/>
      <c r="C22" s="111"/>
      <c r="D22" s="117"/>
      <c r="E22" s="119"/>
      <c r="F22" s="112"/>
      <c r="G22" s="52"/>
      <c r="H22" s="52"/>
      <c r="I22" s="52"/>
      <c r="J22" s="31"/>
      <c r="K22" s="52"/>
      <c r="L22" s="42"/>
      <c r="M22" s="42"/>
      <c r="N22" s="80">
        <v>0</v>
      </c>
      <c r="O22" s="43"/>
      <c r="P22" s="43"/>
      <c r="Q22" s="77">
        <v>0</v>
      </c>
      <c r="R22" s="44"/>
      <c r="S22" s="44"/>
      <c r="T22" s="74">
        <v>0</v>
      </c>
      <c r="U22" s="45"/>
      <c r="V22" s="45"/>
      <c r="W22" s="71">
        <v>0</v>
      </c>
      <c r="X22" s="46"/>
      <c r="Y22" s="46"/>
      <c r="Z22" s="68">
        <v>0</v>
      </c>
      <c r="AA22" s="47"/>
      <c r="AB22" s="47"/>
      <c r="AC22" s="65">
        <v>0</v>
      </c>
      <c r="AD22" s="48"/>
      <c r="AE22" s="48"/>
      <c r="AF22" s="62">
        <v>0</v>
      </c>
      <c r="AG22" s="49"/>
      <c r="AH22" s="49"/>
      <c r="AI22" s="59">
        <v>0</v>
      </c>
      <c r="AJ22" s="50"/>
      <c r="AK22" s="51"/>
      <c r="AL22" s="56">
        <v>0</v>
      </c>
      <c r="AM22" s="91"/>
      <c r="AN22" s="92"/>
      <c r="AO22" s="93">
        <v>0</v>
      </c>
      <c r="AP22" s="43"/>
      <c r="AQ22" s="96"/>
      <c r="AR22" s="97">
        <v>0</v>
      </c>
      <c r="AS22" s="104"/>
      <c r="AT22" s="105"/>
      <c r="AU22" s="106">
        <v>0</v>
      </c>
      <c r="AV22" s="110">
        <f t="shared" si="1"/>
        <v>0</v>
      </c>
    </row>
    <row r="23" spans="1:48" x14ac:dyDescent="0.2">
      <c r="A23" s="108">
        <f t="shared" si="0"/>
        <v>14</v>
      </c>
      <c r="B23" s="52"/>
      <c r="C23" s="111"/>
      <c r="D23" s="117"/>
      <c r="E23" s="119"/>
      <c r="F23" s="112"/>
      <c r="G23" s="52"/>
      <c r="H23" s="52"/>
      <c r="I23" s="52"/>
      <c r="J23" s="31"/>
      <c r="K23" s="52"/>
      <c r="L23" s="42"/>
      <c r="M23" s="42"/>
      <c r="N23" s="80">
        <v>0</v>
      </c>
      <c r="O23" s="43"/>
      <c r="P23" s="43"/>
      <c r="Q23" s="77">
        <v>0</v>
      </c>
      <c r="R23" s="44"/>
      <c r="S23" s="44"/>
      <c r="T23" s="74">
        <v>0</v>
      </c>
      <c r="U23" s="45"/>
      <c r="V23" s="45"/>
      <c r="W23" s="71">
        <v>0</v>
      </c>
      <c r="X23" s="46"/>
      <c r="Y23" s="46"/>
      <c r="Z23" s="68">
        <v>0</v>
      </c>
      <c r="AA23" s="47"/>
      <c r="AB23" s="47"/>
      <c r="AC23" s="65">
        <v>0</v>
      </c>
      <c r="AD23" s="48"/>
      <c r="AE23" s="48"/>
      <c r="AF23" s="62">
        <v>0</v>
      </c>
      <c r="AG23" s="49"/>
      <c r="AH23" s="49"/>
      <c r="AI23" s="59">
        <v>0</v>
      </c>
      <c r="AJ23" s="50"/>
      <c r="AK23" s="51"/>
      <c r="AL23" s="56">
        <v>0</v>
      </c>
      <c r="AM23" s="91"/>
      <c r="AN23" s="92"/>
      <c r="AO23" s="93">
        <v>0</v>
      </c>
      <c r="AP23" s="43"/>
      <c r="AQ23" s="96"/>
      <c r="AR23" s="97">
        <v>0</v>
      </c>
      <c r="AS23" s="104"/>
      <c r="AT23" s="105"/>
      <c r="AU23" s="106">
        <v>0</v>
      </c>
      <c r="AV23" s="110">
        <f t="shared" si="1"/>
        <v>0</v>
      </c>
    </row>
    <row r="24" spans="1:48" x14ac:dyDescent="0.2">
      <c r="A24" s="108">
        <f t="shared" si="0"/>
        <v>15</v>
      </c>
      <c r="B24" s="52"/>
      <c r="C24" s="111"/>
      <c r="D24" s="117"/>
      <c r="E24" s="119"/>
      <c r="F24" s="112"/>
      <c r="G24" s="52"/>
      <c r="H24" s="52"/>
      <c r="I24" s="52"/>
      <c r="J24" s="31"/>
      <c r="K24" s="52"/>
      <c r="L24" s="42"/>
      <c r="M24" s="42"/>
      <c r="N24" s="80">
        <v>0</v>
      </c>
      <c r="O24" s="43"/>
      <c r="P24" s="43"/>
      <c r="Q24" s="77">
        <v>0</v>
      </c>
      <c r="R24" s="44"/>
      <c r="S24" s="44"/>
      <c r="T24" s="74">
        <v>0</v>
      </c>
      <c r="U24" s="45"/>
      <c r="V24" s="45"/>
      <c r="W24" s="71">
        <v>0</v>
      </c>
      <c r="X24" s="46"/>
      <c r="Y24" s="46"/>
      <c r="Z24" s="68">
        <v>0</v>
      </c>
      <c r="AA24" s="47"/>
      <c r="AB24" s="47"/>
      <c r="AC24" s="65">
        <v>0</v>
      </c>
      <c r="AD24" s="48"/>
      <c r="AE24" s="48"/>
      <c r="AF24" s="62">
        <v>0</v>
      </c>
      <c r="AG24" s="49"/>
      <c r="AH24" s="49"/>
      <c r="AI24" s="59">
        <v>0</v>
      </c>
      <c r="AJ24" s="50"/>
      <c r="AK24" s="51"/>
      <c r="AL24" s="56">
        <v>0</v>
      </c>
      <c r="AM24" s="91"/>
      <c r="AN24" s="92"/>
      <c r="AO24" s="93">
        <v>0</v>
      </c>
      <c r="AP24" s="43"/>
      <c r="AQ24" s="96"/>
      <c r="AR24" s="97">
        <v>0</v>
      </c>
      <c r="AS24" s="104"/>
      <c r="AT24" s="105"/>
      <c r="AU24" s="106">
        <v>0</v>
      </c>
      <c r="AV24" s="110">
        <f t="shared" si="1"/>
        <v>0</v>
      </c>
    </row>
    <row r="25" spans="1:48" x14ac:dyDescent="0.2">
      <c r="A25" s="108">
        <f t="shared" si="0"/>
        <v>16</v>
      </c>
      <c r="B25" s="52"/>
      <c r="C25" s="111"/>
      <c r="D25" s="117"/>
      <c r="E25" s="119"/>
      <c r="F25" s="112"/>
      <c r="G25" s="52"/>
      <c r="H25" s="52"/>
      <c r="I25" s="52"/>
      <c r="J25" s="31"/>
      <c r="K25" s="52"/>
      <c r="L25" s="42"/>
      <c r="M25" s="42"/>
      <c r="N25" s="80">
        <v>0</v>
      </c>
      <c r="O25" s="43"/>
      <c r="P25" s="43"/>
      <c r="Q25" s="77">
        <v>0</v>
      </c>
      <c r="R25" s="44"/>
      <c r="S25" s="44"/>
      <c r="T25" s="74">
        <v>0</v>
      </c>
      <c r="U25" s="45"/>
      <c r="V25" s="45"/>
      <c r="W25" s="71">
        <v>0</v>
      </c>
      <c r="X25" s="46"/>
      <c r="Y25" s="46"/>
      <c r="Z25" s="68">
        <v>0</v>
      </c>
      <c r="AA25" s="47"/>
      <c r="AB25" s="47"/>
      <c r="AC25" s="65">
        <v>0</v>
      </c>
      <c r="AD25" s="48"/>
      <c r="AE25" s="48"/>
      <c r="AF25" s="62">
        <v>0</v>
      </c>
      <c r="AG25" s="49"/>
      <c r="AH25" s="49"/>
      <c r="AI25" s="59">
        <v>0</v>
      </c>
      <c r="AJ25" s="50"/>
      <c r="AK25" s="51"/>
      <c r="AL25" s="56">
        <v>0</v>
      </c>
      <c r="AM25" s="91"/>
      <c r="AN25" s="92"/>
      <c r="AO25" s="93">
        <v>0</v>
      </c>
      <c r="AP25" s="43"/>
      <c r="AQ25" s="96"/>
      <c r="AR25" s="97">
        <v>0</v>
      </c>
      <c r="AS25" s="104"/>
      <c r="AT25" s="105"/>
      <c r="AU25" s="106">
        <v>0</v>
      </c>
      <c r="AV25" s="110">
        <f t="shared" si="1"/>
        <v>0</v>
      </c>
    </row>
    <row r="26" spans="1:48" x14ac:dyDescent="0.2">
      <c r="A26" s="108">
        <f t="shared" si="0"/>
        <v>17</v>
      </c>
      <c r="B26" s="52"/>
      <c r="C26" s="111"/>
      <c r="D26" s="117"/>
      <c r="E26" s="119"/>
      <c r="F26" s="112"/>
      <c r="G26" s="52"/>
      <c r="H26" s="52"/>
      <c r="I26" s="52"/>
      <c r="J26" s="31"/>
      <c r="K26" s="52"/>
      <c r="L26" s="42"/>
      <c r="M26" s="42"/>
      <c r="N26" s="80">
        <v>0</v>
      </c>
      <c r="O26" s="43"/>
      <c r="P26" s="43"/>
      <c r="Q26" s="77">
        <v>0</v>
      </c>
      <c r="R26" s="44"/>
      <c r="S26" s="44"/>
      <c r="T26" s="74">
        <v>0</v>
      </c>
      <c r="U26" s="45"/>
      <c r="V26" s="45"/>
      <c r="W26" s="71">
        <v>0</v>
      </c>
      <c r="X26" s="46"/>
      <c r="Y26" s="46"/>
      <c r="Z26" s="68">
        <v>0</v>
      </c>
      <c r="AA26" s="47"/>
      <c r="AB26" s="47"/>
      <c r="AC26" s="65">
        <v>0</v>
      </c>
      <c r="AD26" s="48"/>
      <c r="AE26" s="48"/>
      <c r="AF26" s="62">
        <v>0</v>
      </c>
      <c r="AG26" s="49"/>
      <c r="AH26" s="49"/>
      <c r="AI26" s="59">
        <v>0</v>
      </c>
      <c r="AJ26" s="50"/>
      <c r="AK26" s="51"/>
      <c r="AL26" s="56">
        <v>0</v>
      </c>
      <c r="AM26" s="91"/>
      <c r="AN26" s="92"/>
      <c r="AO26" s="93">
        <v>0</v>
      </c>
      <c r="AP26" s="43"/>
      <c r="AQ26" s="96"/>
      <c r="AR26" s="97">
        <v>0</v>
      </c>
      <c r="AS26" s="104"/>
      <c r="AT26" s="105"/>
      <c r="AU26" s="106">
        <v>0</v>
      </c>
      <c r="AV26" s="110">
        <f t="shared" si="1"/>
        <v>0</v>
      </c>
    </row>
    <row r="27" spans="1:48" x14ac:dyDescent="0.2">
      <c r="A27" s="108">
        <f>A26+1</f>
        <v>18</v>
      </c>
      <c r="B27" s="52"/>
      <c r="C27" s="111"/>
      <c r="D27" s="117"/>
      <c r="E27" s="119"/>
      <c r="F27" s="112"/>
      <c r="G27" s="52"/>
      <c r="H27" s="52"/>
      <c r="I27" s="52"/>
      <c r="J27" s="31"/>
      <c r="K27" s="52"/>
      <c r="L27" s="42"/>
      <c r="M27" s="42"/>
      <c r="N27" s="80">
        <v>0</v>
      </c>
      <c r="O27" s="43"/>
      <c r="P27" s="43"/>
      <c r="Q27" s="77">
        <v>0</v>
      </c>
      <c r="R27" s="44"/>
      <c r="S27" s="44"/>
      <c r="T27" s="74">
        <v>0</v>
      </c>
      <c r="U27" s="45"/>
      <c r="V27" s="45"/>
      <c r="W27" s="71">
        <v>0</v>
      </c>
      <c r="X27" s="46"/>
      <c r="Y27" s="46"/>
      <c r="Z27" s="68">
        <v>0</v>
      </c>
      <c r="AA27" s="47"/>
      <c r="AB27" s="47"/>
      <c r="AC27" s="65">
        <v>0</v>
      </c>
      <c r="AD27" s="48"/>
      <c r="AE27" s="48"/>
      <c r="AF27" s="62">
        <v>0</v>
      </c>
      <c r="AG27" s="49"/>
      <c r="AH27" s="49"/>
      <c r="AI27" s="59">
        <v>0</v>
      </c>
      <c r="AJ27" s="50"/>
      <c r="AK27" s="51"/>
      <c r="AL27" s="56">
        <v>0</v>
      </c>
      <c r="AM27" s="91"/>
      <c r="AN27" s="92"/>
      <c r="AO27" s="93">
        <v>0</v>
      </c>
      <c r="AP27" s="43"/>
      <c r="AQ27" s="96"/>
      <c r="AR27" s="97">
        <v>0</v>
      </c>
      <c r="AS27" s="104"/>
      <c r="AT27" s="105"/>
      <c r="AU27" s="106">
        <v>0</v>
      </c>
      <c r="AV27" s="110">
        <f t="shared" si="1"/>
        <v>0</v>
      </c>
    </row>
    <row r="28" spans="1:48" x14ac:dyDescent="0.2">
      <c r="A28" s="108">
        <f t="shared" si="0"/>
        <v>19</v>
      </c>
      <c r="B28" s="52"/>
      <c r="C28" s="111"/>
      <c r="D28" s="117"/>
      <c r="E28" s="119"/>
      <c r="F28" s="112"/>
      <c r="G28" s="52"/>
      <c r="H28" s="52"/>
      <c r="I28" s="52"/>
      <c r="J28" s="31"/>
      <c r="K28" s="52"/>
      <c r="L28" s="42"/>
      <c r="M28" s="42"/>
      <c r="N28" s="80">
        <v>0</v>
      </c>
      <c r="O28" s="43"/>
      <c r="P28" s="43"/>
      <c r="Q28" s="77">
        <v>0</v>
      </c>
      <c r="R28" s="44"/>
      <c r="S28" s="44"/>
      <c r="T28" s="74">
        <v>0</v>
      </c>
      <c r="U28" s="45"/>
      <c r="V28" s="45"/>
      <c r="W28" s="71">
        <v>0</v>
      </c>
      <c r="X28" s="46"/>
      <c r="Y28" s="46"/>
      <c r="Z28" s="68">
        <v>0</v>
      </c>
      <c r="AA28" s="47"/>
      <c r="AB28" s="47"/>
      <c r="AC28" s="65">
        <v>0</v>
      </c>
      <c r="AD28" s="48"/>
      <c r="AE28" s="48"/>
      <c r="AF28" s="62">
        <v>0</v>
      </c>
      <c r="AG28" s="49"/>
      <c r="AH28" s="49"/>
      <c r="AI28" s="59">
        <v>0</v>
      </c>
      <c r="AJ28" s="50"/>
      <c r="AK28" s="51"/>
      <c r="AL28" s="56">
        <v>0</v>
      </c>
      <c r="AM28" s="91"/>
      <c r="AN28" s="92"/>
      <c r="AO28" s="93">
        <v>0</v>
      </c>
      <c r="AP28" s="43"/>
      <c r="AQ28" s="96"/>
      <c r="AR28" s="97">
        <v>0</v>
      </c>
      <c r="AS28" s="104"/>
      <c r="AT28" s="105"/>
      <c r="AU28" s="106">
        <v>0</v>
      </c>
      <c r="AV28" s="110">
        <f t="shared" si="1"/>
        <v>0</v>
      </c>
    </row>
    <row r="29" spans="1:48" x14ac:dyDescent="0.2">
      <c r="A29" s="108">
        <f t="shared" si="0"/>
        <v>20</v>
      </c>
      <c r="B29" s="52"/>
      <c r="C29" s="111"/>
      <c r="D29" s="117"/>
      <c r="E29" s="119"/>
      <c r="F29" s="112"/>
      <c r="G29" s="52"/>
      <c r="H29" s="52"/>
      <c r="I29" s="52"/>
      <c r="J29" s="31"/>
      <c r="K29" s="52"/>
      <c r="L29" s="42"/>
      <c r="M29" s="42"/>
      <c r="N29" s="80">
        <v>0</v>
      </c>
      <c r="O29" s="43"/>
      <c r="P29" s="43"/>
      <c r="Q29" s="77">
        <v>0</v>
      </c>
      <c r="R29" s="44"/>
      <c r="S29" s="44"/>
      <c r="T29" s="74">
        <v>0</v>
      </c>
      <c r="U29" s="45"/>
      <c r="V29" s="45"/>
      <c r="W29" s="71">
        <v>0</v>
      </c>
      <c r="X29" s="46"/>
      <c r="Y29" s="46"/>
      <c r="Z29" s="68">
        <v>0</v>
      </c>
      <c r="AA29" s="47"/>
      <c r="AB29" s="47"/>
      <c r="AC29" s="65">
        <v>0</v>
      </c>
      <c r="AD29" s="48"/>
      <c r="AE29" s="48"/>
      <c r="AF29" s="62">
        <v>0</v>
      </c>
      <c r="AG29" s="49"/>
      <c r="AH29" s="49"/>
      <c r="AI29" s="59">
        <v>0</v>
      </c>
      <c r="AJ29" s="50"/>
      <c r="AK29" s="51"/>
      <c r="AL29" s="56">
        <v>0</v>
      </c>
      <c r="AM29" s="91"/>
      <c r="AN29" s="92"/>
      <c r="AO29" s="93">
        <v>0</v>
      </c>
      <c r="AP29" s="43"/>
      <c r="AQ29" s="96"/>
      <c r="AR29" s="97">
        <v>0</v>
      </c>
      <c r="AS29" s="104"/>
      <c r="AT29" s="105"/>
      <c r="AU29" s="106">
        <v>0</v>
      </c>
      <c r="AV29" s="110">
        <f t="shared" si="1"/>
        <v>0</v>
      </c>
    </row>
    <row r="30" spans="1:48" x14ac:dyDescent="0.2">
      <c r="A30" s="108">
        <f t="shared" si="0"/>
        <v>21</v>
      </c>
      <c r="B30" s="52"/>
      <c r="C30" s="111"/>
      <c r="D30" s="117"/>
      <c r="E30" s="119"/>
      <c r="F30" s="112"/>
      <c r="G30" s="52"/>
      <c r="H30" s="52"/>
      <c r="I30" s="52"/>
      <c r="J30" s="52"/>
      <c r="K30" s="52"/>
      <c r="L30" s="42"/>
      <c r="M30" s="42"/>
      <c r="N30" s="80">
        <v>0</v>
      </c>
      <c r="O30" s="43"/>
      <c r="P30" s="43"/>
      <c r="Q30" s="77">
        <v>0</v>
      </c>
      <c r="R30" s="44"/>
      <c r="S30" s="44"/>
      <c r="T30" s="74">
        <v>0</v>
      </c>
      <c r="U30" s="45"/>
      <c r="V30" s="45"/>
      <c r="W30" s="71">
        <v>0</v>
      </c>
      <c r="X30" s="46"/>
      <c r="Y30" s="46"/>
      <c r="Z30" s="68">
        <v>0</v>
      </c>
      <c r="AA30" s="47"/>
      <c r="AB30" s="47"/>
      <c r="AC30" s="65">
        <v>0</v>
      </c>
      <c r="AD30" s="48"/>
      <c r="AE30" s="48"/>
      <c r="AF30" s="62">
        <v>0</v>
      </c>
      <c r="AG30" s="49"/>
      <c r="AH30" s="49"/>
      <c r="AI30" s="59">
        <v>0</v>
      </c>
      <c r="AJ30" s="50"/>
      <c r="AK30" s="51"/>
      <c r="AL30" s="56">
        <v>0</v>
      </c>
      <c r="AM30" s="91"/>
      <c r="AN30" s="92"/>
      <c r="AO30" s="93">
        <v>0</v>
      </c>
      <c r="AP30" s="43"/>
      <c r="AQ30" s="96"/>
      <c r="AR30" s="97">
        <v>0</v>
      </c>
      <c r="AS30" s="104"/>
      <c r="AT30" s="105"/>
      <c r="AU30" s="106">
        <v>0</v>
      </c>
      <c r="AV30" s="110">
        <f t="shared" si="1"/>
        <v>0</v>
      </c>
    </row>
    <row r="31" spans="1:48" x14ac:dyDescent="0.2">
      <c r="A31" s="108">
        <f t="shared" si="0"/>
        <v>22</v>
      </c>
      <c r="B31" s="52"/>
      <c r="C31" s="111"/>
      <c r="D31" s="117"/>
      <c r="E31" s="119"/>
      <c r="F31" s="112"/>
      <c r="G31" s="52"/>
      <c r="H31" s="52"/>
      <c r="I31" s="52"/>
      <c r="J31" s="52"/>
      <c r="K31" s="52"/>
      <c r="L31" s="42"/>
      <c r="M31" s="42"/>
      <c r="N31" s="80">
        <v>0</v>
      </c>
      <c r="O31" s="43"/>
      <c r="P31" s="43"/>
      <c r="Q31" s="77">
        <v>0</v>
      </c>
      <c r="R31" s="44"/>
      <c r="S31" s="44"/>
      <c r="T31" s="74">
        <v>0</v>
      </c>
      <c r="U31" s="45"/>
      <c r="V31" s="45"/>
      <c r="W31" s="71">
        <v>0</v>
      </c>
      <c r="X31" s="46"/>
      <c r="Y31" s="46"/>
      <c r="Z31" s="68">
        <v>0</v>
      </c>
      <c r="AA31" s="47"/>
      <c r="AB31" s="47"/>
      <c r="AC31" s="65">
        <v>0</v>
      </c>
      <c r="AD31" s="48"/>
      <c r="AE31" s="48"/>
      <c r="AF31" s="62">
        <v>0</v>
      </c>
      <c r="AG31" s="49"/>
      <c r="AH31" s="49"/>
      <c r="AI31" s="59">
        <v>0</v>
      </c>
      <c r="AJ31" s="50"/>
      <c r="AK31" s="51"/>
      <c r="AL31" s="56">
        <v>0</v>
      </c>
      <c r="AM31" s="91"/>
      <c r="AN31" s="92"/>
      <c r="AO31" s="93">
        <v>0</v>
      </c>
      <c r="AP31" s="43"/>
      <c r="AQ31" s="96"/>
      <c r="AR31" s="97">
        <v>0</v>
      </c>
      <c r="AS31" s="104"/>
      <c r="AT31" s="105"/>
      <c r="AU31" s="106">
        <v>0</v>
      </c>
      <c r="AV31" s="110">
        <f t="shared" si="1"/>
        <v>0</v>
      </c>
    </row>
    <row r="32" spans="1:48" x14ac:dyDescent="0.2">
      <c r="A32" s="108">
        <f t="shared" si="0"/>
        <v>23</v>
      </c>
      <c r="B32" s="52"/>
      <c r="C32" s="111"/>
      <c r="D32" s="117"/>
      <c r="E32" s="119"/>
      <c r="F32" s="112"/>
      <c r="G32" s="52"/>
      <c r="H32" s="52"/>
      <c r="I32" s="52"/>
      <c r="J32" s="52"/>
      <c r="K32" s="52"/>
      <c r="L32" s="42"/>
      <c r="M32" s="42"/>
      <c r="N32" s="80">
        <v>0</v>
      </c>
      <c r="O32" s="43"/>
      <c r="P32" s="43"/>
      <c r="Q32" s="77">
        <v>0</v>
      </c>
      <c r="R32" s="44"/>
      <c r="S32" s="44"/>
      <c r="T32" s="74">
        <v>0</v>
      </c>
      <c r="U32" s="45"/>
      <c r="V32" s="45"/>
      <c r="W32" s="71">
        <v>0</v>
      </c>
      <c r="X32" s="46"/>
      <c r="Y32" s="46"/>
      <c r="Z32" s="68">
        <v>0</v>
      </c>
      <c r="AA32" s="47"/>
      <c r="AB32" s="47"/>
      <c r="AC32" s="65">
        <v>0</v>
      </c>
      <c r="AD32" s="48"/>
      <c r="AE32" s="48"/>
      <c r="AF32" s="62">
        <v>0</v>
      </c>
      <c r="AG32" s="49"/>
      <c r="AH32" s="49"/>
      <c r="AI32" s="59">
        <v>0</v>
      </c>
      <c r="AJ32" s="50"/>
      <c r="AK32" s="51"/>
      <c r="AL32" s="56">
        <v>0</v>
      </c>
      <c r="AM32" s="91"/>
      <c r="AN32" s="92"/>
      <c r="AO32" s="93">
        <v>0</v>
      </c>
      <c r="AP32" s="43"/>
      <c r="AQ32" s="96"/>
      <c r="AR32" s="97">
        <v>0</v>
      </c>
      <c r="AS32" s="104"/>
      <c r="AT32" s="105"/>
      <c r="AU32" s="106">
        <v>0</v>
      </c>
      <c r="AV32" s="110">
        <f t="shared" si="1"/>
        <v>0</v>
      </c>
    </row>
    <row r="33" spans="1:48" x14ac:dyDescent="0.2">
      <c r="A33" s="108">
        <f>A32+1</f>
        <v>24</v>
      </c>
      <c r="B33" s="52"/>
      <c r="C33" s="111"/>
      <c r="D33" s="117"/>
      <c r="E33" s="119"/>
      <c r="F33" s="112"/>
      <c r="G33" s="52"/>
      <c r="H33" s="52"/>
      <c r="I33" s="52"/>
      <c r="J33" s="52"/>
      <c r="K33" s="52"/>
      <c r="L33" s="42"/>
      <c r="M33" s="42"/>
      <c r="N33" s="80">
        <v>0</v>
      </c>
      <c r="O33" s="43"/>
      <c r="P33" s="43"/>
      <c r="Q33" s="77">
        <v>0</v>
      </c>
      <c r="R33" s="44"/>
      <c r="S33" s="44"/>
      <c r="T33" s="74">
        <v>0</v>
      </c>
      <c r="U33" s="45"/>
      <c r="V33" s="45"/>
      <c r="W33" s="71">
        <v>0</v>
      </c>
      <c r="X33" s="46"/>
      <c r="Y33" s="46"/>
      <c r="Z33" s="68">
        <v>0</v>
      </c>
      <c r="AA33" s="47"/>
      <c r="AB33" s="47"/>
      <c r="AC33" s="65">
        <v>0</v>
      </c>
      <c r="AD33" s="48"/>
      <c r="AE33" s="48"/>
      <c r="AF33" s="62">
        <v>0</v>
      </c>
      <c r="AG33" s="49"/>
      <c r="AH33" s="49"/>
      <c r="AI33" s="59">
        <v>0</v>
      </c>
      <c r="AJ33" s="50"/>
      <c r="AK33" s="51"/>
      <c r="AL33" s="56">
        <v>0</v>
      </c>
      <c r="AM33" s="91"/>
      <c r="AN33" s="92"/>
      <c r="AO33" s="93">
        <v>0</v>
      </c>
      <c r="AP33" s="43"/>
      <c r="AQ33" s="96"/>
      <c r="AR33" s="97">
        <v>0</v>
      </c>
      <c r="AS33" s="104"/>
      <c r="AT33" s="105"/>
      <c r="AU33" s="106">
        <v>0</v>
      </c>
      <c r="AV33" s="110">
        <f t="shared" si="1"/>
        <v>0</v>
      </c>
    </row>
    <row r="34" spans="1:48" x14ac:dyDescent="0.2">
      <c r="A34" s="108">
        <f t="shared" si="0"/>
        <v>25</v>
      </c>
      <c r="B34" s="52"/>
      <c r="C34" s="111"/>
      <c r="D34" s="117"/>
      <c r="E34" s="120"/>
      <c r="F34" s="113"/>
      <c r="G34" s="52"/>
      <c r="H34" s="52"/>
      <c r="I34" s="52"/>
      <c r="J34" s="52"/>
      <c r="K34" s="52"/>
      <c r="L34" s="42"/>
      <c r="M34" s="42"/>
      <c r="N34" s="80">
        <v>0</v>
      </c>
      <c r="O34" s="43"/>
      <c r="P34" s="43"/>
      <c r="Q34" s="77">
        <v>0</v>
      </c>
      <c r="R34" s="44"/>
      <c r="S34" s="44"/>
      <c r="T34" s="74">
        <v>0</v>
      </c>
      <c r="U34" s="45"/>
      <c r="V34" s="45"/>
      <c r="W34" s="71">
        <v>0</v>
      </c>
      <c r="X34" s="46"/>
      <c r="Y34" s="46"/>
      <c r="Z34" s="68">
        <v>0</v>
      </c>
      <c r="AA34" s="47"/>
      <c r="AB34" s="47"/>
      <c r="AC34" s="65">
        <v>0</v>
      </c>
      <c r="AD34" s="48"/>
      <c r="AE34" s="48"/>
      <c r="AF34" s="62">
        <v>0</v>
      </c>
      <c r="AG34" s="49"/>
      <c r="AH34" s="49"/>
      <c r="AI34" s="59">
        <v>0</v>
      </c>
      <c r="AJ34" s="50"/>
      <c r="AK34" s="51"/>
      <c r="AL34" s="56">
        <v>0</v>
      </c>
      <c r="AM34" s="91"/>
      <c r="AN34" s="92"/>
      <c r="AO34" s="93">
        <v>0</v>
      </c>
      <c r="AP34" s="43"/>
      <c r="AQ34" s="96"/>
      <c r="AR34" s="97">
        <v>0</v>
      </c>
      <c r="AS34" s="104"/>
      <c r="AT34" s="105"/>
      <c r="AU34" s="106">
        <v>0</v>
      </c>
      <c r="AV34" s="110">
        <f t="shared" si="1"/>
        <v>0</v>
      </c>
    </row>
    <row r="35" spans="1:48" x14ac:dyDescent="0.2">
      <c r="A35" s="108">
        <f t="shared" si="0"/>
        <v>26</v>
      </c>
      <c r="B35" s="52"/>
      <c r="C35" s="111"/>
      <c r="D35" s="117"/>
      <c r="E35" s="119"/>
      <c r="F35" s="112"/>
      <c r="G35" s="52"/>
      <c r="H35" s="52"/>
      <c r="I35" s="52"/>
      <c r="J35" s="52"/>
      <c r="K35" s="52"/>
      <c r="L35" s="42"/>
      <c r="M35" s="42"/>
      <c r="N35" s="80">
        <v>0</v>
      </c>
      <c r="O35" s="43"/>
      <c r="P35" s="43"/>
      <c r="Q35" s="77">
        <v>0</v>
      </c>
      <c r="R35" s="44"/>
      <c r="S35" s="44"/>
      <c r="T35" s="74">
        <v>0</v>
      </c>
      <c r="U35" s="45"/>
      <c r="V35" s="45"/>
      <c r="W35" s="71">
        <v>0</v>
      </c>
      <c r="X35" s="46"/>
      <c r="Y35" s="46"/>
      <c r="Z35" s="68">
        <v>0</v>
      </c>
      <c r="AA35" s="47"/>
      <c r="AB35" s="47"/>
      <c r="AC35" s="65">
        <v>0</v>
      </c>
      <c r="AD35" s="48"/>
      <c r="AE35" s="48"/>
      <c r="AF35" s="62">
        <v>0</v>
      </c>
      <c r="AG35" s="49"/>
      <c r="AH35" s="49"/>
      <c r="AI35" s="59">
        <v>0</v>
      </c>
      <c r="AJ35" s="50"/>
      <c r="AK35" s="51"/>
      <c r="AL35" s="56">
        <v>0</v>
      </c>
      <c r="AM35" s="91"/>
      <c r="AN35" s="92"/>
      <c r="AO35" s="93">
        <v>0</v>
      </c>
      <c r="AP35" s="43"/>
      <c r="AQ35" s="96"/>
      <c r="AR35" s="97">
        <v>0</v>
      </c>
      <c r="AS35" s="104"/>
      <c r="AT35" s="105"/>
      <c r="AU35" s="106">
        <v>0</v>
      </c>
      <c r="AV35" s="110">
        <f t="shared" si="1"/>
        <v>0</v>
      </c>
    </row>
    <row r="36" spans="1:48" x14ac:dyDescent="0.2">
      <c r="A36" s="108">
        <f t="shared" si="0"/>
        <v>27</v>
      </c>
      <c r="B36" s="52"/>
      <c r="C36" s="111"/>
      <c r="D36" s="117"/>
      <c r="E36" s="119"/>
      <c r="F36" s="112"/>
      <c r="G36" s="52"/>
      <c r="H36" s="52"/>
      <c r="I36" s="52"/>
      <c r="J36" s="52"/>
      <c r="K36" s="52"/>
      <c r="L36" s="42"/>
      <c r="M36" s="42"/>
      <c r="N36" s="80">
        <v>0</v>
      </c>
      <c r="O36" s="43"/>
      <c r="P36" s="43"/>
      <c r="Q36" s="77">
        <v>0</v>
      </c>
      <c r="R36" s="44"/>
      <c r="S36" s="44"/>
      <c r="T36" s="74">
        <v>0</v>
      </c>
      <c r="U36" s="45"/>
      <c r="V36" s="45"/>
      <c r="W36" s="71">
        <v>0</v>
      </c>
      <c r="X36" s="46"/>
      <c r="Y36" s="46"/>
      <c r="Z36" s="68">
        <v>0</v>
      </c>
      <c r="AA36" s="47"/>
      <c r="AB36" s="47"/>
      <c r="AC36" s="65">
        <v>0</v>
      </c>
      <c r="AD36" s="48"/>
      <c r="AE36" s="48"/>
      <c r="AF36" s="62">
        <v>0</v>
      </c>
      <c r="AG36" s="49"/>
      <c r="AH36" s="49"/>
      <c r="AI36" s="59">
        <v>0</v>
      </c>
      <c r="AJ36" s="50"/>
      <c r="AK36" s="51"/>
      <c r="AL36" s="56">
        <v>0</v>
      </c>
      <c r="AM36" s="91"/>
      <c r="AN36" s="92"/>
      <c r="AO36" s="93">
        <v>0</v>
      </c>
      <c r="AP36" s="43"/>
      <c r="AQ36" s="96"/>
      <c r="AR36" s="97">
        <v>0</v>
      </c>
      <c r="AS36" s="104"/>
      <c r="AT36" s="105"/>
      <c r="AU36" s="106">
        <v>0</v>
      </c>
      <c r="AV36" s="110">
        <f t="shared" si="1"/>
        <v>0</v>
      </c>
    </row>
    <row r="37" spans="1:48" x14ac:dyDescent="0.2">
      <c r="A37" s="108">
        <f t="shared" si="0"/>
        <v>28</v>
      </c>
      <c r="B37" s="52"/>
      <c r="C37" s="111"/>
      <c r="D37" s="117"/>
      <c r="E37" s="119"/>
      <c r="F37" s="112"/>
      <c r="G37" s="52"/>
      <c r="H37" s="52"/>
      <c r="I37" s="52"/>
      <c r="J37" s="52"/>
      <c r="K37" s="52"/>
      <c r="L37" s="42"/>
      <c r="M37" s="42"/>
      <c r="N37" s="80">
        <v>0</v>
      </c>
      <c r="O37" s="43"/>
      <c r="P37" s="43"/>
      <c r="Q37" s="77">
        <v>0</v>
      </c>
      <c r="R37" s="44"/>
      <c r="S37" s="44"/>
      <c r="T37" s="74">
        <v>0</v>
      </c>
      <c r="U37" s="45"/>
      <c r="V37" s="45"/>
      <c r="W37" s="71">
        <v>0</v>
      </c>
      <c r="X37" s="46"/>
      <c r="Y37" s="46"/>
      <c r="Z37" s="68">
        <v>0</v>
      </c>
      <c r="AA37" s="47"/>
      <c r="AB37" s="47"/>
      <c r="AC37" s="65">
        <v>0</v>
      </c>
      <c r="AD37" s="48"/>
      <c r="AE37" s="48"/>
      <c r="AF37" s="62">
        <v>0</v>
      </c>
      <c r="AG37" s="49"/>
      <c r="AH37" s="49"/>
      <c r="AI37" s="59">
        <v>0</v>
      </c>
      <c r="AJ37" s="50"/>
      <c r="AK37" s="51"/>
      <c r="AL37" s="56">
        <v>0</v>
      </c>
      <c r="AM37" s="91"/>
      <c r="AN37" s="92"/>
      <c r="AO37" s="93">
        <v>0</v>
      </c>
      <c r="AP37" s="43"/>
      <c r="AQ37" s="96"/>
      <c r="AR37" s="97">
        <v>0</v>
      </c>
      <c r="AS37" s="104"/>
      <c r="AT37" s="105"/>
      <c r="AU37" s="106">
        <v>0</v>
      </c>
      <c r="AV37" s="110">
        <f t="shared" si="1"/>
        <v>0</v>
      </c>
    </row>
    <row r="38" spans="1:48" x14ac:dyDescent="0.2">
      <c r="A38" s="108">
        <f t="shared" si="0"/>
        <v>29</v>
      </c>
      <c r="B38" s="52"/>
      <c r="C38" s="111"/>
      <c r="D38" s="117"/>
      <c r="E38" s="119"/>
      <c r="F38" s="112"/>
      <c r="G38" s="52"/>
      <c r="H38" s="52"/>
      <c r="I38" s="52"/>
      <c r="J38" s="52"/>
      <c r="K38" s="52"/>
      <c r="L38" s="42"/>
      <c r="M38" s="42"/>
      <c r="N38" s="80">
        <v>0</v>
      </c>
      <c r="O38" s="43"/>
      <c r="P38" s="43"/>
      <c r="Q38" s="77">
        <v>0</v>
      </c>
      <c r="R38" s="44"/>
      <c r="S38" s="44"/>
      <c r="T38" s="74">
        <v>0</v>
      </c>
      <c r="U38" s="45"/>
      <c r="V38" s="45"/>
      <c r="W38" s="71">
        <v>0</v>
      </c>
      <c r="X38" s="46"/>
      <c r="Y38" s="46"/>
      <c r="Z38" s="68">
        <v>0</v>
      </c>
      <c r="AA38" s="47"/>
      <c r="AB38" s="47"/>
      <c r="AC38" s="65">
        <v>0</v>
      </c>
      <c r="AD38" s="48"/>
      <c r="AE38" s="48"/>
      <c r="AF38" s="62">
        <v>0</v>
      </c>
      <c r="AG38" s="49"/>
      <c r="AH38" s="49"/>
      <c r="AI38" s="59">
        <v>0</v>
      </c>
      <c r="AJ38" s="50"/>
      <c r="AK38" s="51"/>
      <c r="AL38" s="56">
        <v>0</v>
      </c>
      <c r="AM38" s="91"/>
      <c r="AN38" s="92"/>
      <c r="AO38" s="93">
        <v>0</v>
      </c>
      <c r="AP38" s="43"/>
      <c r="AQ38" s="96"/>
      <c r="AR38" s="97">
        <v>0</v>
      </c>
      <c r="AS38" s="104"/>
      <c r="AT38" s="105"/>
      <c r="AU38" s="106">
        <v>0</v>
      </c>
      <c r="AV38" s="110">
        <f t="shared" si="1"/>
        <v>0</v>
      </c>
    </row>
    <row r="39" spans="1:48" x14ac:dyDescent="0.2">
      <c r="A39" s="108">
        <f t="shared" si="0"/>
        <v>30</v>
      </c>
      <c r="B39" s="52"/>
      <c r="C39" s="111"/>
      <c r="D39" s="117"/>
      <c r="E39" s="119"/>
      <c r="F39" s="112"/>
      <c r="G39" s="52"/>
      <c r="H39" s="52"/>
      <c r="I39" s="52"/>
      <c r="J39" s="52"/>
      <c r="K39" s="52"/>
      <c r="L39" s="42"/>
      <c r="M39" s="42"/>
      <c r="N39" s="80">
        <v>0</v>
      </c>
      <c r="O39" s="43"/>
      <c r="P39" s="43"/>
      <c r="Q39" s="77">
        <v>0</v>
      </c>
      <c r="R39" s="44"/>
      <c r="S39" s="44"/>
      <c r="T39" s="74">
        <v>0</v>
      </c>
      <c r="U39" s="45"/>
      <c r="V39" s="45"/>
      <c r="W39" s="71">
        <v>0</v>
      </c>
      <c r="X39" s="46"/>
      <c r="Y39" s="46"/>
      <c r="Z39" s="68">
        <v>0</v>
      </c>
      <c r="AA39" s="47"/>
      <c r="AB39" s="47"/>
      <c r="AC39" s="65">
        <v>0</v>
      </c>
      <c r="AD39" s="48"/>
      <c r="AE39" s="48"/>
      <c r="AF39" s="62">
        <v>0</v>
      </c>
      <c r="AG39" s="49"/>
      <c r="AH39" s="49"/>
      <c r="AI39" s="59">
        <v>0</v>
      </c>
      <c r="AJ39" s="50"/>
      <c r="AK39" s="51"/>
      <c r="AL39" s="56">
        <v>0</v>
      </c>
      <c r="AM39" s="91"/>
      <c r="AN39" s="92"/>
      <c r="AO39" s="93">
        <v>0</v>
      </c>
      <c r="AP39" s="43"/>
      <c r="AQ39" s="96"/>
      <c r="AR39" s="97">
        <v>0</v>
      </c>
      <c r="AS39" s="104"/>
      <c r="AT39" s="105"/>
      <c r="AU39" s="106">
        <v>0</v>
      </c>
      <c r="AV39" s="110">
        <f t="shared" si="1"/>
        <v>0</v>
      </c>
    </row>
    <row r="40" spans="1:48" ht="15" customHeight="1" x14ac:dyDescent="0.2">
      <c r="A40" s="108">
        <f t="shared" si="0"/>
        <v>31</v>
      </c>
      <c r="B40" s="52"/>
      <c r="C40" s="111"/>
      <c r="D40" s="117"/>
      <c r="E40" s="119"/>
      <c r="F40" s="112"/>
      <c r="G40" s="52"/>
      <c r="H40" s="52"/>
      <c r="I40" s="52"/>
      <c r="J40" s="52"/>
      <c r="K40" s="52"/>
      <c r="L40" s="42"/>
      <c r="M40" s="42"/>
      <c r="N40" s="80">
        <v>0</v>
      </c>
      <c r="O40" s="43"/>
      <c r="P40" s="43"/>
      <c r="Q40" s="77">
        <v>0</v>
      </c>
      <c r="R40" s="44"/>
      <c r="S40" s="44"/>
      <c r="T40" s="74">
        <v>0</v>
      </c>
      <c r="U40" s="45"/>
      <c r="V40" s="45"/>
      <c r="W40" s="71">
        <v>0</v>
      </c>
      <c r="X40" s="46"/>
      <c r="Y40" s="46"/>
      <c r="Z40" s="68">
        <v>0</v>
      </c>
      <c r="AA40" s="47"/>
      <c r="AB40" s="47"/>
      <c r="AC40" s="65">
        <v>0</v>
      </c>
      <c r="AD40" s="48"/>
      <c r="AE40" s="48"/>
      <c r="AF40" s="62">
        <v>0</v>
      </c>
      <c r="AG40" s="49"/>
      <c r="AH40" s="49"/>
      <c r="AI40" s="59">
        <v>0</v>
      </c>
      <c r="AJ40" s="50"/>
      <c r="AK40" s="51"/>
      <c r="AL40" s="56">
        <v>0</v>
      </c>
      <c r="AM40" s="91"/>
      <c r="AN40" s="92"/>
      <c r="AO40" s="93">
        <v>0</v>
      </c>
      <c r="AP40" s="43"/>
      <c r="AQ40" s="96"/>
      <c r="AR40" s="97">
        <v>0</v>
      </c>
      <c r="AS40" s="104"/>
      <c r="AT40" s="105"/>
      <c r="AU40" s="106">
        <v>0</v>
      </c>
      <c r="AV40" s="110">
        <f t="shared" si="1"/>
        <v>0</v>
      </c>
    </row>
    <row r="41" spans="1:48" ht="15" customHeight="1" x14ac:dyDescent="0.2">
      <c r="A41" s="108">
        <f t="shared" si="0"/>
        <v>32</v>
      </c>
      <c r="B41" s="52"/>
      <c r="C41" s="111"/>
      <c r="D41" s="117"/>
      <c r="E41" s="119"/>
      <c r="F41" s="112"/>
      <c r="G41" s="52"/>
      <c r="H41" s="52"/>
      <c r="I41" s="52"/>
      <c r="J41" s="52"/>
      <c r="K41" s="52"/>
      <c r="L41" s="42"/>
      <c r="M41" s="42"/>
      <c r="N41" s="80">
        <v>0</v>
      </c>
      <c r="O41" s="43"/>
      <c r="P41" s="43"/>
      <c r="Q41" s="77">
        <v>0</v>
      </c>
      <c r="R41" s="44"/>
      <c r="S41" s="44"/>
      <c r="T41" s="74">
        <v>0</v>
      </c>
      <c r="U41" s="45"/>
      <c r="V41" s="45"/>
      <c r="W41" s="71">
        <v>0</v>
      </c>
      <c r="X41" s="46"/>
      <c r="Y41" s="46"/>
      <c r="Z41" s="68">
        <v>0</v>
      </c>
      <c r="AA41" s="47"/>
      <c r="AB41" s="47"/>
      <c r="AC41" s="65">
        <v>0</v>
      </c>
      <c r="AD41" s="48"/>
      <c r="AE41" s="48"/>
      <c r="AF41" s="62">
        <v>0</v>
      </c>
      <c r="AG41" s="49"/>
      <c r="AH41" s="49"/>
      <c r="AI41" s="59">
        <v>0</v>
      </c>
      <c r="AJ41" s="50"/>
      <c r="AK41" s="51"/>
      <c r="AL41" s="56">
        <v>0</v>
      </c>
      <c r="AM41" s="91"/>
      <c r="AN41" s="92"/>
      <c r="AO41" s="93">
        <v>0</v>
      </c>
      <c r="AP41" s="43"/>
      <c r="AQ41" s="96"/>
      <c r="AR41" s="97">
        <v>0</v>
      </c>
      <c r="AS41" s="104"/>
      <c r="AT41" s="105"/>
      <c r="AU41" s="106">
        <v>0</v>
      </c>
      <c r="AV41" s="110">
        <f t="shared" si="1"/>
        <v>0</v>
      </c>
    </row>
    <row r="42" spans="1:48" ht="15" customHeight="1" x14ac:dyDescent="0.2">
      <c r="A42" s="108">
        <f t="shared" si="0"/>
        <v>33</v>
      </c>
      <c r="B42" s="52"/>
      <c r="C42" s="111"/>
      <c r="D42" s="117"/>
      <c r="E42" s="119"/>
      <c r="F42" s="112"/>
      <c r="G42" s="52"/>
      <c r="H42" s="52"/>
      <c r="I42" s="52"/>
      <c r="J42" s="52"/>
      <c r="K42" s="52"/>
      <c r="L42" s="42"/>
      <c r="M42" s="42"/>
      <c r="N42" s="80">
        <v>0</v>
      </c>
      <c r="O42" s="43"/>
      <c r="P42" s="43"/>
      <c r="Q42" s="77">
        <v>0</v>
      </c>
      <c r="R42" s="44"/>
      <c r="S42" s="44"/>
      <c r="T42" s="74">
        <v>0</v>
      </c>
      <c r="U42" s="45"/>
      <c r="V42" s="45"/>
      <c r="W42" s="71">
        <v>0</v>
      </c>
      <c r="X42" s="46"/>
      <c r="Y42" s="46"/>
      <c r="Z42" s="68">
        <v>0</v>
      </c>
      <c r="AA42" s="47"/>
      <c r="AB42" s="47"/>
      <c r="AC42" s="65">
        <v>0</v>
      </c>
      <c r="AD42" s="48"/>
      <c r="AE42" s="48"/>
      <c r="AF42" s="62">
        <v>0</v>
      </c>
      <c r="AG42" s="49"/>
      <c r="AH42" s="49"/>
      <c r="AI42" s="59">
        <v>0</v>
      </c>
      <c r="AJ42" s="50"/>
      <c r="AK42" s="51"/>
      <c r="AL42" s="56">
        <v>0</v>
      </c>
      <c r="AM42" s="91"/>
      <c r="AN42" s="92"/>
      <c r="AO42" s="93">
        <v>0</v>
      </c>
      <c r="AP42" s="43"/>
      <c r="AQ42" s="96"/>
      <c r="AR42" s="97">
        <v>0</v>
      </c>
      <c r="AS42" s="104"/>
      <c r="AT42" s="105"/>
      <c r="AU42" s="106">
        <v>0</v>
      </c>
      <c r="AV42" s="110">
        <f t="shared" si="1"/>
        <v>0</v>
      </c>
    </row>
    <row r="43" spans="1:48" ht="15" customHeight="1" x14ac:dyDescent="0.2">
      <c r="A43" s="108">
        <f t="shared" si="0"/>
        <v>34</v>
      </c>
      <c r="B43" s="52"/>
      <c r="C43" s="111"/>
      <c r="D43" s="117"/>
      <c r="E43" s="119"/>
      <c r="F43" s="112"/>
      <c r="G43" s="52"/>
      <c r="H43" s="52"/>
      <c r="I43" s="52"/>
      <c r="J43" s="52"/>
      <c r="K43" s="52"/>
      <c r="L43" s="42"/>
      <c r="M43" s="42"/>
      <c r="N43" s="80">
        <v>0</v>
      </c>
      <c r="O43" s="43"/>
      <c r="P43" s="43"/>
      <c r="Q43" s="77">
        <v>0</v>
      </c>
      <c r="R43" s="44"/>
      <c r="S43" s="44"/>
      <c r="T43" s="74">
        <v>0</v>
      </c>
      <c r="U43" s="45"/>
      <c r="V43" s="45"/>
      <c r="W43" s="71">
        <v>0</v>
      </c>
      <c r="X43" s="46"/>
      <c r="Y43" s="46"/>
      <c r="Z43" s="68">
        <v>0</v>
      </c>
      <c r="AA43" s="47"/>
      <c r="AB43" s="47"/>
      <c r="AC43" s="65">
        <v>0</v>
      </c>
      <c r="AD43" s="48"/>
      <c r="AE43" s="48"/>
      <c r="AF43" s="62">
        <v>0</v>
      </c>
      <c r="AG43" s="49"/>
      <c r="AH43" s="49"/>
      <c r="AI43" s="59">
        <v>0</v>
      </c>
      <c r="AJ43" s="50"/>
      <c r="AK43" s="51"/>
      <c r="AL43" s="56">
        <v>0</v>
      </c>
      <c r="AM43" s="91"/>
      <c r="AN43" s="92"/>
      <c r="AO43" s="93">
        <v>0</v>
      </c>
      <c r="AP43" s="43"/>
      <c r="AQ43" s="96"/>
      <c r="AR43" s="97">
        <v>0</v>
      </c>
      <c r="AS43" s="104"/>
      <c r="AT43" s="105"/>
      <c r="AU43" s="106">
        <v>0</v>
      </c>
      <c r="AV43" s="110">
        <f t="shared" si="1"/>
        <v>0</v>
      </c>
    </row>
    <row r="44" spans="1:48" ht="15" customHeight="1" x14ac:dyDescent="0.2">
      <c r="A44" s="108">
        <f t="shared" si="0"/>
        <v>35</v>
      </c>
      <c r="B44" s="52"/>
      <c r="C44" s="111"/>
      <c r="D44" s="117"/>
      <c r="E44" s="119"/>
      <c r="F44" s="112"/>
      <c r="G44" s="52"/>
      <c r="H44" s="52"/>
      <c r="I44" s="52"/>
      <c r="J44" s="52"/>
      <c r="K44" s="52"/>
      <c r="L44" s="42"/>
      <c r="M44" s="42"/>
      <c r="N44" s="80">
        <v>0</v>
      </c>
      <c r="O44" s="43"/>
      <c r="P44" s="43"/>
      <c r="Q44" s="77">
        <v>0</v>
      </c>
      <c r="R44" s="44"/>
      <c r="S44" s="44"/>
      <c r="T44" s="74">
        <v>0</v>
      </c>
      <c r="U44" s="45"/>
      <c r="V44" s="45"/>
      <c r="W44" s="71">
        <v>0</v>
      </c>
      <c r="X44" s="46"/>
      <c r="Y44" s="46"/>
      <c r="Z44" s="68">
        <v>0</v>
      </c>
      <c r="AA44" s="47"/>
      <c r="AB44" s="47"/>
      <c r="AC44" s="65">
        <v>0</v>
      </c>
      <c r="AD44" s="48"/>
      <c r="AE44" s="48"/>
      <c r="AF44" s="62">
        <v>0</v>
      </c>
      <c r="AG44" s="49"/>
      <c r="AH44" s="49"/>
      <c r="AI44" s="59">
        <v>0</v>
      </c>
      <c r="AJ44" s="50"/>
      <c r="AK44" s="51"/>
      <c r="AL44" s="56">
        <v>0</v>
      </c>
      <c r="AM44" s="91"/>
      <c r="AN44" s="92"/>
      <c r="AO44" s="93">
        <v>0</v>
      </c>
      <c r="AP44" s="43"/>
      <c r="AQ44" s="96"/>
      <c r="AR44" s="97">
        <v>0</v>
      </c>
      <c r="AS44" s="104"/>
      <c r="AT44" s="105"/>
      <c r="AU44" s="106">
        <v>0</v>
      </c>
      <c r="AV44" s="110">
        <f t="shared" si="1"/>
        <v>0</v>
      </c>
    </row>
    <row r="45" spans="1:48" ht="15" customHeight="1" x14ac:dyDescent="0.2">
      <c r="A45" s="108">
        <f t="shared" si="0"/>
        <v>36</v>
      </c>
      <c r="B45" s="52"/>
      <c r="C45" s="111"/>
      <c r="D45" s="117"/>
      <c r="E45" s="119"/>
      <c r="F45" s="112"/>
      <c r="G45" s="52"/>
      <c r="H45" s="52"/>
      <c r="I45" s="52"/>
      <c r="J45" s="52"/>
      <c r="K45" s="52"/>
      <c r="L45" s="42"/>
      <c r="M45" s="42"/>
      <c r="N45" s="80">
        <v>0</v>
      </c>
      <c r="O45" s="43"/>
      <c r="P45" s="43"/>
      <c r="Q45" s="77">
        <v>0</v>
      </c>
      <c r="R45" s="44"/>
      <c r="S45" s="44"/>
      <c r="T45" s="74">
        <v>0</v>
      </c>
      <c r="U45" s="45"/>
      <c r="V45" s="45"/>
      <c r="W45" s="71">
        <v>0</v>
      </c>
      <c r="X45" s="46"/>
      <c r="Y45" s="46"/>
      <c r="Z45" s="68">
        <v>0</v>
      </c>
      <c r="AA45" s="47"/>
      <c r="AB45" s="47"/>
      <c r="AC45" s="65">
        <v>0</v>
      </c>
      <c r="AD45" s="48"/>
      <c r="AE45" s="48"/>
      <c r="AF45" s="62">
        <v>0</v>
      </c>
      <c r="AG45" s="49"/>
      <c r="AH45" s="49"/>
      <c r="AI45" s="59">
        <v>0</v>
      </c>
      <c r="AJ45" s="50"/>
      <c r="AK45" s="51"/>
      <c r="AL45" s="56">
        <v>0</v>
      </c>
      <c r="AM45" s="91"/>
      <c r="AN45" s="92"/>
      <c r="AO45" s="93">
        <v>0</v>
      </c>
      <c r="AP45" s="43"/>
      <c r="AQ45" s="96"/>
      <c r="AR45" s="97">
        <v>0</v>
      </c>
      <c r="AS45" s="104"/>
      <c r="AT45" s="105"/>
      <c r="AU45" s="106">
        <v>0</v>
      </c>
      <c r="AV45" s="110">
        <f t="shared" si="1"/>
        <v>0</v>
      </c>
    </row>
    <row r="46" spans="1:48" ht="15" customHeight="1" x14ac:dyDescent="0.2">
      <c r="A46" s="108">
        <f t="shared" si="0"/>
        <v>37</v>
      </c>
      <c r="B46" s="52"/>
      <c r="C46" s="111"/>
      <c r="D46" s="117"/>
      <c r="E46" s="119"/>
      <c r="F46" s="112"/>
      <c r="G46" s="52"/>
      <c r="H46" s="52"/>
      <c r="I46" s="52"/>
      <c r="J46" s="52"/>
      <c r="K46" s="52"/>
      <c r="L46" s="42"/>
      <c r="M46" s="42"/>
      <c r="N46" s="80">
        <v>0</v>
      </c>
      <c r="O46" s="43"/>
      <c r="P46" s="43"/>
      <c r="Q46" s="77">
        <v>0</v>
      </c>
      <c r="R46" s="44"/>
      <c r="S46" s="44"/>
      <c r="T46" s="74">
        <v>0</v>
      </c>
      <c r="U46" s="45"/>
      <c r="V46" s="45"/>
      <c r="W46" s="71">
        <v>0</v>
      </c>
      <c r="X46" s="46"/>
      <c r="Y46" s="46"/>
      <c r="Z46" s="68">
        <v>0</v>
      </c>
      <c r="AA46" s="47"/>
      <c r="AB46" s="47"/>
      <c r="AC46" s="65">
        <v>0</v>
      </c>
      <c r="AD46" s="48"/>
      <c r="AE46" s="48"/>
      <c r="AF46" s="62">
        <v>0</v>
      </c>
      <c r="AG46" s="49"/>
      <c r="AH46" s="49"/>
      <c r="AI46" s="59">
        <v>0</v>
      </c>
      <c r="AJ46" s="50"/>
      <c r="AK46" s="51"/>
      <c r="AL46" s="56">
        <v>0</v>
      </c>
      <c r="AM46" s="91"/>
      <c r="AN46" s="92"/>
      <c r="AO46" s="93">
        <v>0</v>
      </c>
      <c r="AP46" s="43"/>
      <c r="AQ46" s="96"/>
      <c r="AR46" s="97">
        <v>0</v>
      </c>
      <c r="AS46" s="104"/>
      <c r="AT46" s="105"/>
      <c r="AU46" s="106">
        <v>0</v>
      </c>
      <c r="AV46" s="110">
        <f t="shared" si="1"/>
        <v>0</v>
      </c>
    </row>
    <row r="47" spans="1:48" ht="15" customHeight="1" x14ac:dyDescent="0.2">
      <c r="A47" s="108">
        <f t="shared" si="0"/>
        <v>38</v>
      </c>
      <c r="B47" s="52"/>
      <c r="C47" s="111"/>
      <c r="D47" s="117"/>
      <c r="E47" s="119"/>
      <c r="F47" s="112"/>
      <c r="G47" s="52"/>
      <c r="H47" s="52"/>
      <c r="I47" s="52"/>
      <c r="J47" s="52"/>
      <c r="K47" s="52"/>
      <c r="L47" s="42"/>
      <c r="M47" s="42"/>
      <c r="N47" s="80">
        <v>0</v>
      </c>
      <c r="O47" s="43"/>
      <c r="P47" s="43"/>
      <c r="Q47" s="77">
        <v>0</v>
      </c>
      <c r="R47" s="44"/>
      <c r="S47" s="44"/>
      <c r="T47" s="74">
        <v>0</v>
      </c>
      <c r="U47" s="45"/>
      <c r="V47" s="45"/>
      <c r="W47" s="71">
        <v>0</v>
      </c>
      <c r="X47" s="46"/>
      <c r="Y47" s="46"/>
      <c r="Z47" s="68">
        <v>0</v>
      </c>
      <c r="AA47" s="47"/>
      <c r="AB47" s="47"/>
      <c r="AC47" s="65">
        <v>0</v>
      </c>
      <c r="AD47" s="48"/>
      <c r="AE47" s="48"/>
      <c r="AF47" s="62">
        <v>0</v>
      </c>
      <c r="AG47" s="49"/>
      <c r="AH47" s="49"/>
      <c r="AI47" s="59">
        <v>0</v>
      </c>
      <c r="AJ47" s="50"/>
      <c r="AK47" s="51"/>
      <c r="AL47" s="56">
        <v>0</v>
      </c>
      <c r="AM47" s="91"/>
      <c r="AN47" s="92"/>
      <c r="AO47" s="93">
        <v>0</v>
      </c>
      <c r="AP47" s="43"/>
      <c r="AQ47" s="96"/>
      <c r="AR47" s="97">
        <v>0</v>
      </c>
      <c r="AS47" s="104"/>
      <c r="AT47" s="105"/>
      <c r="AU47" s="106">
        <v>0</v>
      </c>
      <c r="AV47" s="110">
        <f t="shared" si="1"/>
        <v>0</v>
      </c>
    </row>
    <row r="48" spans="1:48" ht="15" customHeight="1" x14ac:dyDescent="0.2">
      <c r="A48" s="108">
        <f t="shared" si="0"/>
        <v>39</v>
      </c>
      <c r="B48" s="52"/>
      <c r="C48" s="111"/>
      <c r="D48" s="117"/>
      <c r="E48" s="119"/>
      <c r="F48" s="112"/>
      <c r="G48" s="52"/>
      <c r="H48" s="52"/>
      <c r="I48" s="52"/>
      <c r="J48" s="52"/>
      <c r="K48" s="52"/>
      <c r="L48" s="42"/>
      <c r="M48" s="42"/>
      <c r="N48" s="80">
        <v>0</v>
      </c>
      <c r="O48" s="43"/>
      <c r="P48" s="43"/>
      <c r="Q48" s="77">
        <v>0</v>
      </c>
      <c r="R48" s="44"/>
      <c r="S48" s="44"/>
      <c r="T48" s="74">
        <v>0</v>
      </c>
      <c r="U48" s="45"/>
      <c r="V48" s="45"/>
      <c r="W48" s="71">
        <v>0</v>
      </c>
      <c r="X48" s="46"/>
      <c r="Y48" s="46"/>
      <c r="Z48" s="68">
        <v>0</v>
      </c>
      <c r="AA48" s="47"/>
      <c r="AB48" s="47"/>
      <c r="AC48" s="65">
        <v>0</v>
      </c>
      <c r="AD48" s="48"/>
      <c r="AE48" s="48"/>
      <c r="AF48" s="62">
        <v>0</v>
      </c>
      <c r="AG48" s="49"/>
      <c r="AH48" s="49"/>
      <c r="AI48" s="59">
        <v>0</v>
      </c>
      <c r="AJ48" s="50"/>
      <c r="AK48" s="51"/>
      <c r="AL48" s="56">
        <v>0</v>
      </c>
      <c r="AM48" s="91"/>
      <c r="AN48" s="92"/>
      <c r="AO48" s="93">
        <v>0</v>
      </c>
      <c r="AP48" s="43"/>
      <c r="AQ48" s="96"/>
      <c r="AR48" s="97">
        <v>0</v>
      </c>
      <c r="AS48" s="104"/>
      <c r="AT48" s="105"/>
      <c r="AU48" s="106">
        <v>0</v>
      </c>
      <c r="AV48" s="110">
        <f t="shared" si="1"/>
        <v>0</v>
      </c>
    </row>
    <row r="49" spans="1:48" ht="15" customHeight="1" x14ac:dyDescent="0.2">
      <c r="A49" s="108">
        <f t="shared" si="0"/>
        <v>40</v>
      </c>
      <c r="B49" s="52"/>
      <c r="C49" s="111"/>
      <c r="D49" s="117"/>
      <c r="E49" s="119"/>
      <c r="F49" s="112"/>
      <c r="G49" s="52"/>
      <c r="H49" s="52"/>
      <c r="I49" s="52"/>
      <c r="J49" s="52"/>
      <c r="K49" s="52"/>
      <c r="L49" s="42"/>
      <c r="M49" s="42"/>
      <c r="N49" s="80">
        <v>0</v>
      </c>
      <c r="O49" s="43"/>
      <c r="P49" s="43"/>
      <c r="Q49" s="77">
        <v>0</v>
      </c>
      <c r="R49" s="44"/>
      <c r="S49" s="44"/>
      <c r="T49" s="74">
        <v>0</v>
      </c>
      <c r="U49" s="45"/>
      <c r="V49" s="45"/>
      <c r="W49" s="71">
        <v>0</v>
      </c>
      <c r="X49" s="46"/>
      <c r="Y49" s="46"/>
      <c r="Z49" s="68">
        <v>0</v>
      </c>
      <c r="AA49" s="47"/>
      <c r="AB49" s="47"/>
      <c r="AC49" s="65">
        <v>0</v>
      </c>
      <c r="AD49" s="48"/>
      <c r="AE49" s="48"/>
      <c r="AF49" s="62">
        <v>0</v>
      </c>
      <c r="AG49" s="49"/>
      <c r="AH49" s="49"/>
      <c r="AI49" s="59">
        <v>0</v>
      </c>
      <c r="AJ49" s="50"/>
      <c r="AK49" s="51"/>
      <c r="AL49" s="56">
        <v>0</v>
      </c>
      <c r="AM49" s="91"/>
      <c r="AN49" s="92"/>
      <c r="AO49" s="93">
        <v>0</v>
      </c>
      <c r="AP49" s="43"/>
      <c r="AQ49" s="96"/>
      <c r="AR49" s="97">
        <v>0</v>
      </c>
      <c r="AS49" s="104"/>
      <c r="AT49" s="105"/>
      <c r="AU49" s="106">
        <v>0</v>
      </c>
      <c r="AV49" s="110">
        <f t="shared" si="1"/>
        <v>0</v>
      </c>
    </row>
    <row r="50" spans="1:48" ht="15" customHeight="1" x14ac:dyDescent="0.2">
      <c r="A50" s="108">
        <f t="shared" si="0"/>
        <v>41</v>
      </c>
      <c r="B50" s="52"/>
      <c r="C50" s="111"/>
      <c r="D50" s="117"/>
      <c r="E50" s="119"/>
      <c r="F50" s="112"/>
      <c r="G50" s="52"/>
      <c r="H50" s="52"/>
      <c r="I50" s="52"/>
      <c r="J50" s="52"/>
      <c r="K50" s="52"/>
      <c r="L50" s="42"/>
      <c r="M50" s="42"/>
      <c r="N50" s="80">
        <v>0</v>
      </c>
      <c r="O50" s="43"/>
      <c r="P50" s="43"/>
      <c r="Q50" s="77">
        <v>0</v>
      </c>
      <c r="R50" s="44"/>
      <c r="S50" s="44"/>
      <c r="T50" s="74">
        <v>0</v>
      </c>
      <c r="U50" s="45"/>
      <c r="V50" s="45"/>
      <c r="W50" s="71">
        <v>0</v>
      </c>
      <c r="X50" s="46"/>
      <c r="Y50" s="46"/>
      <c r="Z50" s="68">
        <v>0</v>
      </c>
      <c r="AA50" s="47"/>
      <c r="AB50" s="47"/>
      <c r="AC50" s="65">
        <v>0</v>
      </c>
      <c r="AD50" s="48"/>
      <c r="AE50" s="48"/>
      <c r="AF50" s="62">
        <v>0</v>
      </c>
      <c r="AG50" s="49"/>
      <c r="AH50" s="49"/>
      <c r="AI50" s="59">
        <v>0</v>
      </c>
      <c r="AJ50" s="50"/>
      <c r="AK50" s="51"/>
      <c r="AL50" s="56">
        <v>0</v>
      </c>
      <c r="AM50" s="91"/>
      <c r="AN50" s="92"/>
      <c r="AO50" s="93">
        <v>0</v>
      </c>
      <c r="AP50" s="43"/>
      <c r="AQ50" s="96"/>
      <c r="AR50" s="97">
        <v>0</v>
      </c>
      <c r="AS50" s="104"/>
      <c r="AT50" s="105"/>
      <c r="AU50" s="106">
        <v>0</v>
      </c>
      <c r="AV50" s="110">
        <f t="shared" si="1"/>
        <v>0</v>
      </c>
    </row>
    <row r="51" spans="1:48" ht="15" customHeight="1" x14ac:dyDescent="0.2">
      <c r="A51" s="108">
        <f t="shared" si="0"/>
        <v>42</v>
      </c>
      <c r="B51" s="52"/>
      <c r="C51" s="111"/>
      <c r="D51" s="117"/>
      <c r="E51" s="119"/>
      <c r="F51" s="112"/>
      <c r="G51" s="52"/>
      <c r="H51" s="52"/>
      <c r="I51" s="52"/>
      <c r="J51" s="52"/>
      <c r="K51" s="52"/>
      <c r="L51" s="42"/>
      <c r="M51" s="42"/>
      <c r="N51" s="80">
        <v>0</v>
      </c>
      <c r="O51" s="43"/>
      <c r="P51" s="43"/>
      <c r="Q51" s="77">
        <v>0</v>
      </c>
      <c r="R51" s="44"/>
      <c r="S51" s="44"/>
      <c r="T51" s="74">
        <v>0</v>
      </c>
      <c r="U51" s="45"/>
      <c r="V51" s="45"/>
      <c r="W51" s="71">
        <v>0</v>
      </c>
      <c r="X51" s="46"/>
      <c r="Y51" s="46"/>
      <c r="Z51" s="68">
        <v>0</v>
      </c>
      <c r="AA51" s="47"/>
      <c r="AB51" s="47"/>
      <c r="AC51" s="65">
        <v>0</v>
      </c>
      <c r="AD51" s="48"/>
      <c r="AE51" s="48"/>
      <c r="AF51" s="62">
        <v>0</v>
      </c>
      <c r="AG51" s="49"/>
      <c r="AH51" s="49"/>
      <c r="AI51" s="59">
        <v>0</v>
      </c>
      <c r="AJ51" s="50"/>
      <c r="AK51" s="51"/>
      <c r="AL51" s="56">
        <v>0</v>
      </c>
      <c r="AM51" s="91"/>
      <c r="AN51" s="92"/>
      <c r="AO51" s="93">
        <v>0</v>
      </c>
      <c r="AP51" s="43"/>
      <c r="AQ51" s="96"/>
      <c r="AR51" s="97">
        <v>0</v>
      </c>
      <c r="AS51" s="104"/>
      <c r="AT51" s="105"/>
      <c r="AU51" s="106">
        <v>0</v>
      </c>
      <c r="AV51" s="110">
        <f t="shared" si="1"/>
        <v>0</v>
      </c>
    </row>
    <row r="52" spans="1:48" ht="15" customHeight="1" x14ac:dyDescent="0.2">
      <c r="A52" s="108">
        <f t="shared" si="0"/>
        <v>43</v>
      </c>
      <c r="B52" s="52"/>
      <c r="C52" s="111"/>
      <c r="D52" s="117"/>
      <c r="E52" s="119"/>
      <c r="F52" s="112"/>
      <c r="G52" s="52"/>
      <c r="H52" s="52"/>
      <c r="I52" s="52"/>
      <c r="J52" s="52"/>
      <c r="K52" s="52"/>
      <c r="L52" s="42"/>
      <c r="M52" s="42"/>
      <c r="N52" s="80">
        <v>0</v>
      </c>
      <c r="O52" s="43"/>
      <c r="P52" s="43"/>
      <c r="Q52" s="77">
        <v>0</v>
      </c>
      <c r="R52" s="44"/>
      <c r="S52" s="44"/>
      <c r="T52" s="74">
        <v>0</v>
      </c>
      <c r="U52" s="45"/>
      <c r="V52" s="45"/>
      <c r="W52" s="71">
        <v>0</v>
      </c>
      <c r="X52" s="46"/>
      <c r="Y52" s="46"/>
      <c r="Z52" s="68">
        <v>0</v>
      </c>
      <c r="AA52" s="47"/>
      <c r="AB52" s="47"/>
      <c r="AC52" s="65">
        <v>0</v>
      </c>
      <c r="AD52" s="48"/>
      <c r="AE52" s="48"/>
      <c r="AF52" s="62">
        <v>0</v>
      </c>
      <c r="AG52" s="49"/>
      <c r="AH52" s="49"/>
      <c r="AI52" s="59">
        <v>0</v>
      </c>
      <c r="AJ52" s="50"/>
      <c r="AK52" s="51"/>
      <c r="AL52" s="56">
        <v>0</v>
      </c>
      <c r="AM52" s="91"/>
      <c r="AN52" s="92"/>
      <c r="AO52" s="93">
        <v>0</v>
      </c>
      <c r="AP52" s="43"/>
      <c r="AQ52" s="96"/>
      <c r="AR52" s="97">
        <v>0</v>
      </c>
      <c r="AS52" s="104"/>
      <c r="AT52" s="105"/>
      <c r="AU52" s="106">
        <v>0</v>
      </c>
      <c r="AV52" s="110">
        <f t="shared" si="1"/>
        <v>0</v>
      </c>
    </row>
    <row r="53" spans="1:48" ht="15" customHeight="1" x14ac:dyDescent="0.2">
      <c r="A53" s="108">
        <f t="shared" si="0"/>
        <v>44</v>
      </c>
      <c r="B53" s="52"/>
      <c r="C53" s="111"/>
      <c r="D53" s="117"/>
      <c r="E53" s="119"/>
      <c r="F53" s="112"/>
      <c r="G53" s="52"/>
      <c r="H53" s="52"/>
      <c r="I53" s="52"/>
      <c r="J53" s="52"/>
      <c r="K53" s="52"/>
      <c r="L53" s="42"/>
      <c r="M53" s="42"/>
      <c r="N53" s="80">
        <v>0</v>
      </c>
      <c r="O53" s="43"/>
      <c r="P53" s="43"/>
      <c r="Q53" s="77">
        <v>0</v>
      </c>
      <c r="R53" s="44"/>
      <c r="S53" s="44"/>
      <c r="T53" s="74">
        <v>0</v>
      </c>
      <c r="U53" s="45"/>
      <c r="V53" s="45"/>
      <c r="W53" s="71">
        <v>0</v>
      </c>
      <c r="X53" s="46"/>
      <c r="Y53" s="46"/>
      <c r="Z53" s="68">
        <v>0</v>
      </c>
      <c r="AA53" s="47"/>
      <c r="AB53" s="47"/>
      <c r="AC53" s="65">
        <v>0</v>
      </c>
      <c r="AD53" s="48"/>
      <c r="AE53" s="48"/>
      <c r="AF53" s="62">
        <v>0</v>
      </c>
      <c r="AG53" s="49"/>
      <c r="AH53" s="49"/>
      <c r="AI53" s="59">
        <v>0</v>
      </c>
      <c r="AJ53" s="50"/>
      <c r="AK53" s="51"/>
      <c r="AL53" s="56">
        <v>0</v>
      </c>
      <c r="AM53" s="91"/>
      <c r="AN53" s="92"/>
      <c r="AO53" s="93">
        <v>0</v>
      </c>
      <c r="AP53" s="43"/>
      <c r="AQ53" s="96"/>
      <c r="AR53" s="97">
        <v>0</v>
      </c>
      <c r="AS53" s="104"/>
      <c r="AT53" s="105"/>
      <c r="AU53" s="106">
        <v>0</v>
      </c>
      <c r="AV53" s="110">
        <f t="shared" si="1"/>
        <v>0</v>
      </c>
    </row>
    <row r="54" spans="1:48" ht="15" customHeight="1" x14ac:dyDescent="0.2">
      <c r="A54" s="108">
        <f t="shared" si="0"/>
        <v>45</v>
      </c>
      <c r="B54" s="52"/>
      <c r="C54" s="111"/>
      <c r="D54" s="117"/>
      <c r="E54" s="119"/>
      <c r="F54" s="112"/>
      <c r="G54" s="52"/>
      <c r="H54" s="52"/>
      <c r="I54" s="52"/>
      <c r="J54" s="52"/>
      <c r="K54" s="52"/>
      <c r="L54" s="42"/>
      <c r="M54" s="42"/>
      <c r="N54" s="80">
        <v>0</v>
      </c>
      <c r="O54" s="43"/>
      <c r="P54" s="43"/>
      <c r="Q54" s="77">
        <v>0</v>
      </c>
      <c r="R54" s="44"/>
      <c r="S54" s="44"/>
      <c r="T54" s="74">
        <v>0</v>
      </c>
      <c r="U54" s="45"/>
      <c r="V54" s="45"/>
      <c r="W54" s="71">
        <v>0</v>
      </c>
      <c r="X54" s="46"/>
      <c r="Y54" s="46"/>
      <c r="Z54" s="68">
        <v>0</v>
      </c>
      <c r="AA54" s="47"/>
      <c r="AB54" s="47"/>
      <c r="AC54" s="65">
        <v>0</v>
      </c>
      <c r="AD54" s="48"/>
      <c r="AE54" s="48"/>
      <c r="AF54" s="62">
        <v>0</v>
      </c>
      <c r="AG54" s="49"/>
      <c r="AH54" s="49"/>
      <c r="AI54" s="59">
        <v>0</v>
      </c>
      <c r="AJ54" s="50"/>
      <c r="AK54" s="51"/>
      <c r="AL54" s="56">
        <v>0</v>
      </c>
      <c r="AM54" s="91"/>
      <c r="AN54" s="92"/>
      <c r="AO54" s="93">
        <v>0</v>
      </c>
      <c r="AP54" s="43"/>
      <c r="AQ54" s="96"/>
      <c r="AR54" s="97">
        <v>0</v>
      </c>
      <c r="AS54" s="104"/>
      <c r="AT54" s="105"/>
      <c r="AU54" s="106">
        <v>0</v>
      </c>
      <c r="AV54" s="110">
        <f t="shared" si="1"/>
        <v>0</v>
      </c>
    </row>
    <row r="55" spans="1:48" ht="15" customHeight="1" x14ac:dyDescent="0.2">
      <c r="A55" s="108">
        <f t="shared" si="0"/>
        <v>46</v>
      </c>
      <c r="B55" s="52"/>
      <c r="C55" s="111"/>
      <c r="D55" s="117"/>
      <c r="E55" s="119"/>
      <c r="F55" s="112"/>
      <c r="G55" s="52"/>
      <c r="H55" s="52"/>
      <c r="I55" s="52"/>
      <c r="J55" s="52"/>
      <c r="K55" s="52"/>
      <c r="L55" s="42"/>
      <c r="M55" s="42"/>
      <c r="N55" s="80">
        <v>0</v>
      </c>
      <c r="O55" s="43"/>
      <c r="P55" s="43"/>
      <c r="Q55" s="77">
        <v>0</v>
      </c>
      <c r="R55" s="44"/>
      <c r="S55" s="44"/>
      <c r="T55" s="74">
        <v>0</v>
      </c>
      <c r="U55" s="45"/>
      <c r="V55" s="45"/>
      <c r="W55" s="71">
        <v>0</v>
      </c>
      <c r="X55" s="46"/>
      <c r="Y55" s="46"/>
      <c r="Z55" s="68">
        <v>0</v>
      </c>
      <c r="AA55" s="47"/>
      <c r="AB55" s="47"/>
      <c r="AC55" s="65">
        <v>0</v>
      </c>
      <c r="AD55" s="48"/>
      <c r="AE55" s="48"/>
      <c r="AF55" s="62">
        <v>0</v>
      </c>
      <c r="AG55" s="49"/>
      <c r="AH55" s="49"/>
      <c r="AI55" s="59">
        <v>0</v>
      </c>
      <c r="AJ55" s="50"/>
      <c r="AK55" s="51"/>
      <c r="AL55" s="56">
        <v>0</v>
      </c>
      <c r="AM55" s="91"/>
      <c r="AN55" s="92"/>
      <c r="AO55" s="93">
        <v>0</v>
      </c>
      <c r="AP55" s="43"/>
      <c r="AQ55" s="96"/>
      <c r="AR55" s="97">
        <v>0</v>
      </c>
      <c r="AS55" s="104"/>
      <c r="AT55" s="105"/>
      <c r="AU55" s="106">
        <v>0</v>
      </c>
      <c r="AV55" s="110">
        <f t="shared" si="1"/>
        <v>0</v>
      </c>
    </row>
    <row r="56" spans="1:48" ht="15" customHeight="1" x14ac:dyDescent="0.2">
      <c r="A56" s="108">
        <f t="shared" si="0"/>
        <v>47</v>
      </c>
      <c r="B56" s="52"/>
      <c r="C56" s="111"/>
      <c r="D56" s="117"/>
      <c r="E56" s="119"/>
      <c r="F56" s="112"/>
      <c r="G56" s="52"/>
      <c r="H56" s="52"/>
      <c r="I56" s="52"/>
      <c r="J56" s="52"/>
      <c r="K56" s="52"/>
      <c r="L56" s="42"/>
      <c r="M56" s="42"/>
      <c r="N56" s="80">
        <v>0</v>
      </c>
      <c r="O56" s="43"/>
      <c r="P56" s="43"/>
      <c r="Q56" s="77">
        <v>0</v>
      </c>
      <c r="R56" s="44"/>
      <c r="S56" s="44"/>
      <c r="T56" s="74">
        <v>0</v>
      </c>
      <c r="U56" s="45"/>
      <c r="V56" s="45"/>
      <c r="W56" s="71">
        <v>0</v>
      </c>
      <c r="X56" s="46"/>
      <c r="Y56" s="46"/>
      <c r="Z56" s="68">
        <v>0</v>
      </c>
      <c r="AA56" s="47"/>
      <c r="AB56" s="47"/>
      <c r="AC56" s="65">
        <v>0</v>
      </c>
      <c r="AD56" s="48"/>
      <c r="AE56" s="48"/>
      <c r="AF56" s="62">
        <v>0</v>
      </c>
      <c r="AG56" s="49"/>
      <c r="AH56" s="49"/>
      <c r="AI56" s="59">
        <v>0</v>
      </c>
      <c r="AJ56" s="50"/>
      <c r="AK56" s="51"/>
      <c r="AL56" s="56">
        <v>0</v>
      </c>
      <c r="AM56" s="91"/>
      <c r="AN56" s="92"/>
      <c r="AO56" s="93">
        <v>0</v>
      </c>
      <c r="AP56" s="43"/>
      <c r="AQ56" s="96"/>
      <c r="AR56" s="97">
        <v>0</v>
      </c>
      <c r="AS56" s="104"/>
      <c r="AT56" s="105"/>
      <c r="AU56" s="106">
        <v>0</v>
      </c>
      <c r="AV56" s="110">
        <f t="shared" si="1"/>
        <v>0</v>
      </c>
    </row>
    <row r="57" spans="1:48" ht="15" customHeight="1" x14ac:dyDescent="0.2">
      <c r="A57" s="108">
        <f t="shared" si="0"/>
        <v>48</v>
      </c>
      <c r="B57" s="52"/>
      <c r="C57" s="111"/>
      <c r="D57" s="117"/>
      <c r="E57" s="119"/>
      <c r="F57" s="112"/>
      <c r="G57" s="52"/>
      <c r="H57" s="52"/>
      <c r="I57" s="52"/>
      <c r="J57" s="52"/>
      <c r="K57" s="52"/>
      <c r="L57" s="42"/>
      <c r="M57" s="42"/>
      <c r="N57" s="80">
        <v>0</v>
      </c>
      <c r="O57" s="43"/>
      <c r="P57" s="43"/>
      <c r="Q57" s="77">
        <v>0</v>
      </c>
      <c r="R57" s="44"/>
      <c r="S57" s="44"/>
      <c r="T57" s="74">
        <v>0</v>
      </c>
      <c r="U57" s="45"/>
      <c r="V57" s="45"/>
      <c r="W57" s="71">
        <v>0</v>
      </c>
      <c r="X57" s="46"/>
      <c r="Y57" s="46"/>
      <c r="Z57" s="68">
        <v>0</v>
      </c>
      <c r="AA57" s="47"/>
      <c r="AB57" s="47"/>
      <c r="AC57" s="65">
        <v>0</v>
      </c>
      <c r="AD57" s="48"/>
      <c r="AE57" s="48"/>
      <c r="AF57" s="62">
        <v>0</v>
      </c>
      <c r="AG57" s="49"/>
      <c r="AH57" s="49"/>
      <c r="AI57" s="59">
        <v>0</v>
      </c>
      <c r="AJ57" s="50"/>
      <c r="AK57" s="51"/>
      <c r="AL57" s="56">
        <v>0</v>
      </c>
      <c r="AM57" s="91"/>
      <c r="AN57" s="92"/>
      <c r="AO57" s="93">
        <v>0</v>
      </c>
      <c r="AP57" s="43"/>
      <c r="AQ57" s="96"/>
      <c r="AR57" s="97">
        <v>0</v>
      </c>
      <c r="AS57" s="104"/>
      <c r="AT57" s="105"/>
      <c r="AU57" s="106">
        <v>0</v>
      </c>
      <c r="AV57" s="110">
        <f t="shared" si="1"/>
        <v>0</v>
      </c>
    </row>
    <row r="58" spans="1:48" ht="15" customHeight="1" x14ac:dyDescent="0.2">
      <c r="A58" s="108">
        <f t="shared" si="0"/>
        <v>49</v>
      </c>
      <c r="B58" s="52"/>
      <c r="C58" s="111"/>
      <c r="D58" s="117"/>
      <c r="E58" s="119"/>
      <c r="F58" s="112"/>
      <c r="G58" s="52"/>
      <c r="H58" s="52"/>
      <c r="I58" s="52"/>
      <c r="J58" s="52"/>
      <c r="K58" s="52"/>
      <c r="L58" s="42"/>
      <c r="M58" s="42"/>
      <c r="N58" s="80">
        <v>0</v>
      </c>
      <c r="O58" s="43"/>
      <c r="P58" s="43"/>
      <c r="Q58" s="77">
        <v>0</v>
      </c>
      <c r="R58" s="44"/>
      <c r="S58" s="44"/>
      <c r="T58" s="74">
        <v>0</v>
      </c>
      <c r="U58" s="45"/>
      <c r="V58" s="45"/>
      <c r="W58" s="71">
        <v>0</v>
      </c>
      <c r="X58" s="46"/>
      <c r="Y58" s="46"/>
      <c r="Z58" s="68">
        <v>0</v>
      </c>
      <c r="AA58" s="47"/>
      <c r="AB58" s="47"/>
      <c r="AC58" s="65">
        <v>0</v>
      </c>
      <c r="AD58" s="48"/>
      <c r="AE58" s="48"/>
      <c r="AF58" s="62">
        <v>0</v>
      </c>
      <c r="AG58" s="49"/>
      <c r="AH58" s="49"/>
      <c r="AI58" s="59">
        <v>0</v>
      </c>
      <c r="AJ58" s="50"/>
      <c r="AK58" s="51"/>
      <c r="AL58" s="56">
        <v>0</v>
      </c>
      <c r="AM58" s="91"/>
      <c r="AN58" s="92"/>
      <c r="AO58" s="93">
        <v>0</v>
      </c>
      <c r="AP58" s="43"/>
      <c r="AQ58" s="96"/>
      <c r="AR58" s="97">
        <v>0</v>
      </c>
      <c r="AS58" s="104"/>
      <c r="AT58" s="105"/>
      <c r="AU58" s="106">
        <v>0</v>
      </c>
      <c r="AV58" s="110">
        <f t="shared" si="1"/>
        <v>0</v>
      </c>
    </row>
    <row r="59" spans="1:48" ht="15" customHeight="1" x14ac:dyDescent="0.2">
      <c r="A59" s="108">
        <f t="shared" si="0"/>
        <v>50</v>
      </c>
      <c r="B59" s="52"/>
      <c r="C59" s="111"/>
      <c r="D59" s="117"/>
      <c r="E59" s="119"/>
      <c r="F59" s="112"/>
      <c r="G59" s="52"/>
      <c r="H59" s="52"/>
      <c r="I59" s="52"/>
      <c r="J59" s="52"/>
      <c r="K59" s="52"/>
      <c r="L59" s="42"/>
      <c r="M59" s="42"/>
      <c r="N59" s="80">
        <v>0</v>
      </c>
      <c r="O59" s="43"/>
      <c r="P59" s="43"/>
      <c r="Q59" s="77">
        <v>0</v>
      </c>
      <c r="R59" s="44"/>
      <c r="S59" s="44"/>
      <c r="T59" s="74">
        <v>0</v>
      </c>
      <c r="U59" s="45"/>
      <c r="V59" s="45"/>
      <c r="W59" s="71">
        <v>0</v>
      </c>
      <c r="X59" s="46"/>
      <c r="Y59" s="46"/>
      <c r="Z59" s="68">
        <v>0</v>
      </c>
      <c r="AA59" s="47"/>
      <c r="AB59" s="47"/>
      <c r="AC59" s="65">
        <v>0</v>
      </c>
      <c r="AD59" s="48"/>
      <c r="AE59" s="48"/>
      <c r="AF59" s="62">
        <v>0</v>
      </c>
      <c r="AG59" s="49"/>
      <c r="AH59" s="49"/>
      <c r="AI59" s="59">
        <v>0</v>
      </c>
      <c r="AJ59" s="50"/>
      <c r="AK59" s="51"/>
      <c r="AL59" s="56">
        <v>0</v>
      </c>
      <c r="AM59" s="91"/>
      <c r="AN59" s="92"/>
      <c r="AO59" s="93">
        <v>0</v>
      </c>
      <c r="AP59" s="43"/>
      <c r="AQ59" s="96"/>
      <c r="AR59" s="97">
        <v>0</v>
      </c>
      <c r="AS59" s="104"/>
      <c r="AT59" s="105"/>
      <c r="AU59" s="106">
        <v>0</v>
      </c>
      <c r="AV59" s="110">
        <f t="shared" si="1"/>
        <v>0</v>
      </c>
    </row>
    <row r="63" spans="1:48" ht="15.75" x14ac:dyDescent="0.25">
      <c r="D63" s="122" t="s">
        <v>50</v>
      </c>
      <c r="E63" s="8"/>
      <c r="F63" s="8"/>
      <c r="G63" s="8"/>
      <c r="H63" s="8"/>
      <c r="I63" s="8"/>
      <c r="J63" s="8"/>
      <c r="K63" s="8"/>
      <c r="L63" s="8"/>
      <c r="M63" s="8" t="s">
        <v>7</v>
      </c>
    </row>
    <row r="66" spans="4:13" x14ac:dyDescent="0.2">
      <c r="D66" s="116" t="s">
        <v>51</v>
      </c>
      <c r="M66" s="9" t="s">
        <v>52</v>
      </c>
    </row>
  </sheetData>
  <autoFilter ref="A9:AV59" xr:uid="{22E6292E-66C7-4498-85AE-02181AD68D2B}"/>
  <mergeCells count="24">
    <mergeCell ref="F8:F9"/>
    <mergeCell ref="H8:H9"/>
    <mergeCell ref="K8:K9"/>
    <mergeCell ref="AM8:AO8"/>
    <mergeCell ref="AA8:AC8"/>
    <mergeCell ref="X8:Z8"/>
    <mergeCell ref="U8:W8"/>
    <mergeCell ref="R8:T8"/>
    <mergeCell ref="AP8:AR8"/>
    <mergeCell ref="AV8:AV9"/>
    <mergeCell ref="A8:A9"/>
    <mergeCell ref="C8:C9"/>
    <mergeCell ref="D8:D9"/>
    <mergeCell ref="E8:E9"/>
    <mergeCell ref="G8:G9"/>
    <mergeCell ref="I8:I9"/>
    <mergeCell ref="J8:J9"/>
    <mergeCell ref="L8:N8"/>
    <mergeCell ref="O8:Q8"/>
    <mergeCell ref="AS8:AU8"/>
    <mergeCell ref="AG8:AI8"/>
    <mergeCell ref="AD8:AF8"/>
    <mergeCell ref="B8:B9"/>
    <mergeCell ref="AJ8:AL8"/>
  </mergeCells>
  <pageMargins left="0.39370078740157483" right="0.15748031496062992" top="0.74803149606299213" bottom="0.74803149606299213" header="0.31496062992125984" footer="0.31496062992125984"/>
  <pageSetup paperSize="5" scale="49"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4"/>
  <sheetViews>
    <sheetView tabSelected="1" view="pageBreakPreview" zoomScaleSheetLayoutView="100" workbookViewId="0">
      <selection activeCell="K26" sqref="K26"/>
    </sheetView>
  </sheetViews>
  <sheetFormatPr defaultRowHeight="14.25" x14ac:dyDescent="0.2"/>
  <cols>
    <col min="1" max="1" width="5.5703125" style="10" bestFit="1" customWidth="1"/>
    <col min="2" max="2" width="22.140625" style="10" customWidth="1"/>
    <col min="3" max="3" width="22.42578125" style="10" customWidth="1"/>
    <col min="4" max="4" width="5.7109375" style="10" customWidth="1"/>
    <col min="5" max="5" width="6.85546875" style="10" bestFit="1" customWidth="1"/>
    <col min="6" max="6" width="6.42578125" style="10" bestFit="1" customWidth="1"/>
    <col min="7" max="8" width="5.7109375" style="10" customWidth="1"/>
    <col min="9" max="9" width="6.42578125" style="10" bestFit="1" customWidth="1"/>
    <col min="10" max="11" width="5.7109375" style="10" customWidth="1"/>
    <col min="12" max="12" width="6.42578125" style="10" bestFit="1" customWidth="1"/>
    <col min="13" max="14" width="5.7109375" style="10" customWidth="1"/>
    <col min="15" max="15" width="6.42578125" style="10" bestFit="1" customWidth="1"/>
    <col min="16" max="17" width="5.7109375" style="10" customWidth="1"/>
    <col min="18" max="18" width="6.42578125" style="10" bestFit="1" customWidth="1"/>
    <col min="19" max="24" width="6.42578125" style="10" customWidth="1"/>
    <col min="25" max="16384" width="9.140625" style="10"/>
  </cols>
  <sheetData>
    <row r="1" spans="1:27" x14ac:dyDescent="0.2">
      <c r="A1" s="166" t="s">
        <v>32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  <c r="Y1" s="166"/>
      <c r="Z1" s="166"/>
      <c r="AA1" s="166"/>
    </row>
    <row r="2" spans="1:27" ht="15" x14ac:dyDescent="0.2">
      <c r="B2" s="9"/>
      <c r="C2" s="9"/>
    </row>
    <row r="3" spans="1:27" ht="15" x14ac:dyDescent="0.25">
      <c r="A3" s="1"/>
      <c r="B3" s="81" t="s">
        <v>16</v>
      </c>
      <c r="C3" s="81">
        <f>'Enrolment List'!C2</f>
        <v>0</v>
      </c>
    </row>
    <row r="4" spans="1:27" ht="15" x14ac:dyDescent="0.25">
      <c r="A4" s="1"/>
      <c r="B4" s="81" t="s">
        <v>17</v>
      </c>
      <c r="C4" s="81">
        <f>'Enrolment List'!C3</f>
        <v>0</v>
      </c>
    </row>
    <row r="5" spans="1:27" ht="15" x14ac:dyDescent="0.25">
      <c r="A5" s="1"/>
      <c r="B5" s="81" t="s">
        <v>18</v>
      </c>
      <c r="C5" s="81">
        <f>'Enrolment List'!C4</f>
        <v>0</v>
      </c>
    </row>
    <row r="6" spans="1:27" ht="15" x14ac:dyDescent="0.25">
      <c r="A6" s="1"/>
      <c r="B6" s="81" t="s">
        <v>19</v>
      </c>
      <c r="C6" s="81">
        <f>'Enrolment List'!C5</f>
        <v>0</v>
      </c>
    </row>
    <row r="7" spans="1:27" x14ac:dyDescent="0.2">
      <c r="A7" s="1" t="s">
        <v>33</v>
      </c>
    </row>
    <row r="8" spans="1:27" x14ac:dyDescent="0.2">
      <c r="A8" s="167" t="s">
        <v>31</v>
      </c>
      <c r="B8" s="167" t="s">
        <v>15</v>
      </c>
      <c r="C8" s="171" t="s">
        <v>1</v>
      </c>
      <c r="D8" s="168" t="s">
        <v>21</v>
      </c>
      <c r="E8" s="168"/>
      <c r="F8" s="168"/>
      <c r="G8" s="168" t="s">
        <v>22</v>
      </c>
      <c r="H8" s="168"/>
      <c r="I8" s="168"/>
      <c r="J8" s="168" t="s">
        <v>23</v>
      </c>
      <c r="K8" s="168"/>
      <c r="L8" s="168"/>
      <c r="M8" s="168" t="s">
        <v>24</v>
      </c>
      <c r="N8" s="168"/>
      <c r="O8" s="168"/>
      <c r="P8" s="168" t="s">
        <v>25</v>
      </c>
      <c r="Q8" s="168"/>
      <c r="R8" s="168"/>
      <c r="S8" s="168" t="s">
        <v>26</v>
      </c>
      <c r="T8" s="168"/>
      <c r="U8" s="168"/>
      <c r="V8" s="168" t="s">
        <v>27</v>
      </c>
      <c r="W8" s="168"/>
      <c r="X8" s="168"/>
      <c r="Y8" s="169" t="s">
        <v>8</v>
      </c>
      <c r="Z8" s="170"/>
      <c r="AA8" s="173" t="s">
        <v>30</v>
      </c>
    </row>
    <row r="9" spans="1:27" x14ac:dyDescent="0.2">
      <c r="A9" s="167"/>
      <c r="B9" s="167"/>
      <c r="C9" s="172"/>
      <c r="D9" s="7" t="s">
        <v>28</v>
      </c>
      <c r="E9" s="7" t="s">
        <v>29</v>
      </c>
      <c r="F9" s="7" t="s">
        <v>30</v>
      </c>
      <c r="G9" s="7" t="s">
        <v>28</v>
      </c>
      <c r="H9" s="7" t="s">
        <v>29</v>
      </c>
      <c r="I9" s="7" t="s">
        <v>30</v>
      </c>
      <c r="J9" s="7" t="s">
        <v>28</v>
      </c>
      <c r="K9" s="7" t="s">
        <v>29</v>
      </c>
      <c r="L9" s="7" t="s">
        <v>30</v>
      </c>
      <c r="M9" s="7" t="s">
        <v>28</v>
      </c>
      <c r="N9" s="7" t="s">
        <v>29</v>
      </c>
      <c r="O9" s="7" t="s">
        <v>30</v>
      </c>
      <c r="P9" s="7" t="s">
        <v>28</v>
      </c>
      <c r="Q9" s="7" t="s">
        <v>29</v>
      </c>
      <c r="R9" s="7" t="s">
        <v>30</v>
      </c>
      <c r="S9" s="7" t="s">
        <v>28</v>
      </c>
      <c r="T9" s="7" t="s">
        <v>29</v>
      </c>
      <c r="U9" s="7" t="s">
        <v>30</v>
      </c>
      <c r="V9" s="7" t="s">
        <v>28</v>
      </c>
      <c r="W9" s="7" t="s">
        <v>29</v>
      </c>
      <c r="X9" s="7" t="s">
        <v>30</v>
      </c>
      <c r="Y9" s="7" t="s">
        <v>28</v>
      </c>
      <c r="Z9" s="7" t="s">
        <v>29</v>
      </c>
      <c r="AA9" s="174"/>
    </row>
    <row r="10" spans="1:27" x14ac:dyDescent="0.2">
      <c r="A10" s="2">
        <v>1</v>
      </c>
      <c r="B10" s="2" t="s">
        <v>15</v>
      </c>
      <c r="C10" s="2"/>
      <c r="D10" s="3"/>
      <c r="E10" s="4"/>
      <c r="F10" s="5">
        <f>E10+D10</f>
        <v>0</v>
      </c>
      <c r="G10" s="3"/>
      <c r="H10" s="4"/>
      <c r="I10" s="5">
        <f>H10+G10</f>
        <v>0</v>
      </c>
      <c r="J10" s="3"/>
      <c r="K10" s="4"/>
      <c r="L10" s="5">
        <f>K10+J10</f>
        <v>0</v>
      </c>
      <c r="M10" s="3"/>
      <c r="N10" s="4"/>
      <c r="O10" s="5">
        <f>N10+M10</f>
        <v>0</v>
      </c>
      <c r="P10" s="3"/>
      <c r="Q10" s="4"/>
      <c r="R10" s="5">
        <f>Q10+P10</f>
        <v>0</v>
      </c>
      <c r="S10" s="3"/>
      <c r="T10" s="4"/>
      <c r="U10" s="5">
        <f>T10+S10</f>
        <v>0</v>
      </c>
      <c r="V10" s="3"/>
      <c r="W10" s="4"/>
      <c r="X10" s="5">
        <f>W10+V10</f>
        <v>0</v>
      </c>
      <c r="Y10" s="3">
        <f>D10+G10+J10+M10+P10+S10+V10</f>
        <v>0</v>
      </c>
      <c r="Z10" s="3">
        <f>E10+H10+K10+N10+Q10+T10+W10</f>
        <v>0</v>
      </c>
      <c r="AA10" s="5">
        <f t="shared" ref="AA10:AA17" si="0">Z10+Y10</f>
        <v>0</v>
      </c>
    </row>
    <row r="11" spans="1:27" x14ac:dyDescent="0.2">
      <c r="A11" s="2">
        <f>A10+1</f>
        <v>2</v>
      </c>
      <c r="B11" s="2"/>
      <c r="C11" s="2"/>
      <c r="D11" s="3"/>
      <c r="E11" s="4"/>
      <c r="F11" s="5">
        <f t="shared" ref="F11:F18" si="1">E11+D11</f>
        <v>0</v>
      </c>
      <c r="G11" s="3"/>
      <c r="H11" s="4"/>
      <c r="I11" s="5">
        <f t="shared" ref="I11:I18" si="2">H11+G11</f>
        <v>0</v>
      </c>
      <c r="J11" s="3"/>
      <c r="K11" s="4"/>
      <c r="L11" s="5">
        <f t="shared" ref="L11:L18" si="3">K11+J11</f>
        <v>0</v>
      </c>
      <c r="M11" s="3"/>
      <c r="N11" s="4"/>
      <c r="O11" s="5">
        <f t="shared" ref="O11:O18" si="4">N11+M11</f>
        <v>0</v>
      </c>
      <c r="P11" s="3"/>
      <c r="Q11" s="4"/>
      <c r="R11" s="5">
        <f t="shared" ref="R11:R18" si="5">Q11+P11</f>
        <v>0</v>
      </c>
      <c r="S11" s="3"/>
      <c r="T11" s="4"/>
      <c r="U11" s="5">
        <f t="shared" ref="U11:U18" si="6">T11+S11</f>
        <v>0</v>
      </c>
      <c r="V11" s="3"/>
      <c r="W11" s="4"/>
      <c r="X11" s="5">
        <f t="shared" ref="X11:X18" si="7">W11+V11</f>
        <v>0</v>
      </c>
      <c r="Y11" s="3">
        <f t="shared" ref="Y11:Y17" si="8">D11+G11+J11+M11+P11+S11+V11</f>
        <v>0</v>
      </c>
      <c r="Z11" s="3">
        <f t="shared" ref="Z11:Z17" si="9">E11+H11+K11+N11+Q11+T11+W11</f>
        <v>0</v>
      </c>
      <c r="AA11" s="5">
        <f t="shared" si="0"/>
        <v>0</v>
      </c>
    </row>
    <row r="12" spans="1:27" x14ac:dyDescent="0.2">
      <c r="A12" s="2">
        <f t="shared" ref="A12:A17" si="10">A11+1</f>
        <v>3</v>
      </c>
      <c r="B12" s="2"/>
      <c r="C12" s="2"/>
      <c r="D12" s="3"/>
      <c r="E12" s="4"/>
      <c r="F12" s="5">
        <f t="shared" si="1"/>
        <v>0</v>
      </c>
      <c r="G12" s="3"/>
      <c r="H12" s="4"/>
      <c r="I12" s="5">
        <f t="shared" si="2"/>
        <v>0</v>
      </c>
      <c r="J12" s="3"/>
      <c r="K12" s="4"/>
      <c r="L12" s="5">
        <f t="shared" si="3"/>
        <v>0</v>
      </c>
      <c r="M12" s="3"/>
      <c r="N12" s="4"/>
      <c r="O12" s="5">
        <f t="shared" si="4"/>
        <v>0</v>
      </c>
      <c r="P12" s="3"/>
      <c r="Q12" s="4"/>
      <c r="R12" s="5">
        <f t="shared" si="5"/>
        <v>0</v>
      </c>
      <c r="S12" s="3"/>
      <c r="T12" s="4"/>
      <c r="U12" s="5">
        <f t="shared" si="6"/>
        <v>0</v>
      </c>
      <c r="V12" s="3"/>
      <c r="W12" s="4"/>
      <c r="X12" s="5">
        <f t="shared" si="7"/>
        <v>0</v>
      </c>
      <c r="Y12" s="3">
        <f t="shared" si="8"/>
        <v>0</v>
      </c>
      <c r="Z12" s="3">
        <f t="shared" si="9"/>
        <v>0</v>
      </c>
      <c r="AA12" s="5">
        <f t="shared" si="0"/>
        <v>0</v>
      </c>
    </row>
    <row r="13" spans="1:27" x14ac:dyDescent="0.2">
      <c r="A13" s="2">
        <f t="shared" si="10"/>
        <v>4</v>
      </c>
      <c r="B13" s="2"/>
      <c r="C13" s="2"/>
      <c r="D13" s="3"/>
      <c r="E13" s="4"/>
      <c r="F13" s="5">
        <f t="shared" si="1"/>
        <v>0</v>
      </c>
      <c r="G13" s="3"/>
      <c r="H13" s="4"/>
      <c r="I13" s="5">
        <f t="shared" si="2"/>
        <v>0</v>
      </c>
      <c r="J13" s="3"/>
      <c r="K13" s="4"/>
      <c r="L13" s="5">
        <f t="shared" si="3"/>
        <v>0</v>
      </c>
      <c r="M13" s="3"/>
      <c r="N13" s="4"/>
      <c r="O13" s="5">
        <f t="shared" si="4"/>
        <v>0</v>
      </c>
      <c r="P13" s="3"/>
      <c r="Q13" s="4"/>
      <c r="R13" s="5">
        <f t="shared" si="5"/>
        <v>0</v>
      </c>
      <c r="S13" s="3"/>
      <c r="T13" s="4"/>
      <c r="U13" s="5">
        <f t="shared" si="6"/>
        <v>0</v>
      </c>
      <c r="V13" s="3"/>
      <c r="W13" s="4"/>
      <c r="X13" s="5">
        <f t="shared" si="7"/>
        <v>0</v>
      </c>
      <c r="Y13" s="3">
        <f t="shared" si="8"/>
        <v>0</v>
      </c>
      <c r="Z13" s="3">
        <f t="shared" si="9"/>
        <v>0</v>
      </c>
      <c r="AA13" s="5">
        <f t="shared" si="0"/>
        <v>0</v>
      </c>
    </row>
    <row r="14" spans="1:27" x14ac:dyDescent="0.2">
      <c r="A14" s="2">
        <f t="shared" si="10"/>
        <v>5</v>
      </c>
      <c r="B14" s="2"/>
      <c r="C14" s="2"/>
      <c r="D14" s="3"/>
      <c r="E14" s="4"/>
      <c r="F14" s="5">
        <f t="shared" si="1"/>
        <v>0</v>
      </c>
      <c r="G14" s="3"/>
      <c r="H14" s="4"/>
      <c r="I14" s="5">
        <f t="shared" si="2"/>
        <v>0</v>
      </c>
      <c r="J14" s="3"/>
      <c r="K14" s="4"/>
      <c r="L14" s="5">
        <f t="shared" si="3"/>
        <v>0</v>
      </c>
      <c r="M14" s="3"/>
      <c r="N14" s="4"/>
      <c r="O14" s="5">
        <f t="shared" si="4"/>
        <v>0</v>
      </c>
      <c r="P14" s="3"/>
      <c r="Q14" s="4"/>
      <c r="R14" s="5">
        <f t="shared" si="5"/>
        <v>0</v>
      </c>
      <c r="S14" s="3"/>
      <c r="T14" s="4"/>
      <c r="U14" s="5">
        <f t="shared" si="6"/>
        <v>0</v>
      </c>
      <c r="V14" s="3"/>
      <c r="W14" s="4"/>
      <c r="X14" s="5">
        <f t="shared" si="7"/>
        <v>0</v>
      </c>
      <c r="Y14" s="3">
        <f t="shared" si="8"/>
        <v>0</v>
      </c>
      <c r="Z14" s="3">
        <f t="shared" si="9"/>
        <v>0</v>
      </c>
      <c r="AA14" s="5">
        <f t="shared" si="0"/>
        <v>0</v>
      </c>
    </row>
    <row r="15" spans="1:27" x14ac:dyDescent="0.2">
      <c r="A15" s="2">
        <f t="shared" si="10"/>
        <v>6</v>
      </c>
      <c r="B15" s="2"/>
      <c r="C15" s="2"/>
      <c r="D15" s="3"/>
      <c r="E15" s="4"/>
      <c r="F15" s="5">
        <f t="shared" si="1"/>
        <v>0</v>
      </c>
      <c r="G15" s="3"/>
      <c r="H15" s="4"/>
      <c r="I15" s="5">
        <f t="shared" si="2"/>
        <v>0</v>
      </c>
      <c r="J15" s="3"/>
      <c r="K15" s="4"/>
      <c r="L15" s="5">
        <f t="shared" si="3"/>
        <v>0</v>
      </c>
      <c r="M15" s="3"/>
      <c r="N15" s="4"/>
      <c r="O15" s="5">
        <f t="shared" si="4"/>
        <v>0</v>
      </c>
      <c r="P15" s="3"/>
      <c r="Q15" s="4"/>
      <c r="R15" s="5">
        <f t="shared" si="5"/>
        <v>0</v>
      </c>
      <c r="S15" s="3"/>
      <c r="T15" s="4"/>
      <c r="U15" s="5">
        <f t="shared" si="6"/>
        <v>0</v>
      </c>
      <c r="V15" s="3"/>
      <c r="W15" s="4"/>
      <c r="X15" s="5">
        <f t="shared" si="7"/>
        <v>0</v>
      </c>
      <c r="Y15" s="3">
        <f t="shared" si="8"/>
        <v>0</v>
      </c>
      <c r="Z15" s="3">
        <f t="shared" si="9"/>
        <v>0</v>
      </c>
      <c r="AA15" s="5">
        <f t="shared" si="0"/>
        <v>0</v>
      </c>
    </row>
    <row r="16" spans="1:27" x14ac:dyDescent="0.2">
      <c r="A16" s="2">
        <f t="shared" si="10"/>
        <v>7</v>
      </c>
      <c r="B16" s="2"/>
      <c r="C16" s="2"/>
      <c r="D16" s="3"/>
      <c r="E16" s="4"/>
      <c r="F16" s="5">
        <f t="shared" si="1"/>
        <v>0</v>
      </c>
      <c r="G16" s="3"/>
      <c r="H16" s="4"/>
      <c r="I16" s="5">
        <f t="shared" si="2"/>
        <v>0</v>
      </c>
      <c r="J16" s="3"/>
      <c r="K16" s="4"/>
      <c r="L16" s="5">
        <f t="shared" si="3"/>
        <v>0</v>
      </c>
      <c r="M16" s="3"/>
      <c r="N16" s="4"/>
      <c r="O16" s="5">
        <f t="shared" si="4"/>
        <v>0</v>
      </c>
      <c r="P16" s="3"/>
      <c r="Q16" s="4"/>
      <c r="R16" s="5">
        <f t="shared" si="5"/>
        <v>0</v>
      </c>
      <c r="S16" s="3"/>
      <c r="T16" s="4"/>
      <c r="U16" s="5">
        <f t="shared" si="6"/>
        <v>0</v>
      </c>
      <c r="V16" s="3"/>
      <c r="W16" s="4"/>
      <c r="X16" s="5">
        <f t="shared" si="7"/>
        <v>0</v>
      </c>
      <c r="Y16" s="3">
        <f t="shared" si="8"/>
        <v>0</v>
      </c>
      <c r="Z16" s="3">
        <f t="shared" si="9"/>
        <v>0</v>
      </c>
      <c r="AA16" s="5">
        <f t="shared" si="0"/>
        <v>0</v>
      </c>
    </row>
    <row r="17" spans="1:27" x14ac:dyDescent="0.2">
      <c r="A17" s="2">
        <f t="shared" si="10"/>
        <v>8</v>
      </c>
      <c r="B17" s="2"/>
      <c r="C17" s="2"/>
      <c r="D17" s="3"/>
      <c r="E17" s="4"/>
      <c r="F17" s="5">
        <f t="shared" si="1"/>
        <v>0</v>
      </c>
      <c r="G17" s="3"/>
      <c r="H17" s="4"/>
      <c r="I17" s="5">
        <f t="shared" si="2"/>
        <v>0</v>
      </c>
      <c r="J17" s="3"/>
      <c r="K17" s="4"/>
      <c r="L17" s="5">
        <f t="shared" si="3"/>
        <v>0</v>
      </c>
      <c r="M17" s="3"/>
      <c r="N17" s="4"/>
      <c r="O17" s="5">
        <f t="shared" si="4"/>
        <v>0</v>
      </c>
      <c r="P17" s="3"/>
      <c r="Q17" s="4"/>
      <c r="R17" s="5">
        <f t="shared" si="5"/>
        <v>0</v>
      </c>
      <c r="S17" s="3"/>
      <c r="T17" s="4"/>
      <c r="U17" s="5">
        <f t="shared" si="6"/>
        <v>0</v>
      </c>
      <c r="V17" s="3"/>
      <c r="W17" s="4"/>
      <c r="X17" s="5">
        <f t="shared" si="7"/>
        <v>0</v>
      </c>
      <c r="Y17" s="3">
        <f t="shared" si="8"/>
        <v>0</v>
      </c>
      <c r="Z17" s="3">
        <f t="shared" si="9"/>
        <v>0</v>
      </c>
      <c r="AA17" s="5">
        <f t="shared" si="0"/>
        <v>0</v>
      </c>
    </row>
    <row r="18" spans="1:27" x14ac:dyDescent="0.2">
      <c r="A18" s="2"/>
      <c r="B18" s="2" t="s">
        <v>8</v>
      </c>
      <c r="C18" s="2"/>
      <c r="D18" s="3"/>
      <c r="E18" s="4"/>
      <c r="F18" s="5">
        <f t="shared" si="1"/>
        <v>0</v>
      </c>
      <c r="G18" s="3"/>
      <c r="H18" s="4"/>
      <c r="I18" s="5">
        <f t="shared" si="2"/>
        <v>0</v>
      </c>
      <c r="J18" s="3"/>
      <c r="K18" s="4"/>
      <c r="L18" s="5">
        <f t="shared" si="3"/>
        <v>0</v>
      </c>
      <c r="M18" s="3"/>
      <c r="N18" s="4"/>
      <c r="O18" s="5">
        <f t="shared" si="4"/>
        <v>0</v>
      </c>
      <c r="P18" s="3"/>
      <c r="Q18" s="4"/>
      <c r="R18" s="5">
        <f t="shared" si="5"/>
        <v>0</v>
      </c>
      <c r="S18" s="3"/>
      <c r="T18" s="4"/>
      <c r="U18" s="5">
        <f t="shared" si="6"/>
        <v>0</v>
      </c>
      <c r="V18" s="3"/>
      <c r="W18" s="4"/>
      <c r="X18" s="5">
        <f t="shared" si="7"/>
        <v>0</v>
      </c>
      <c r="Y18" s="3">
        <f>SUM(Y10:Y17)</f>
        <v>0</v>
      </c>
      <c r="Z18" s="3">
        <f>SUM(Z10:Z17)</f>
        <v>0</v>
      </c>
      <c r="AA18" s="5">
        <f>SUM(AA10:AA17)</f>
        <v>0</v>
      </c>
    </row>
    <row r="21" spans="1:27" ht="15.75" x14ac:dyDescent="0.25">
      <c r="A21" s="6"/>
      <c r="B21" s="107"/>
      <c r="C21" s="122" t="s">
        <v>50</v>
      </c>
      <c r="D21" s="8"/>
      <c r="E21" s="8"/>
      <c r="F21" s="8"/>
      <c r="G21" s="8"/>
      <c r="H21" s="8"/>
      <c r="I21" s="8"/>
      <c r="J21" s="8"/>
      <c r="K21" s="8"/>
      <c r="L21" s="8" t="s">
        <v>7</v>
      </c>
    </row>
    <row r="22" spans="1:27" ht="15" x14ac:dyDescent="0.2">
      <c r="C22" s="116"/>
      <c r="D22" s="9"/>
      <c r="E22" s="9"/>
      <c r="F22" s="9"/>
      <c r="G22" s="9"/>
      <c r="H22" s="9"/>
      <c r="I22" s="9"/>
      <c r="J22" s="9"/>
      <c r="K22" s="9"/>
      <c r="L22" s="9"/>
    </row>
    <row r="23" spans="1:27" ht="15" x14ac:dyDescent="0.2">
      <c r="C23" s="116"/>
      <c r="D23" s="9"/>
      <c r="E23" s="9"/>
      <c r="F23" s="9"/>
      <c r="G23" s="9"/>
      <c r="H23" s="9"/>
      <c r="I23" s="9"/>
      <c r="J23" s="9"/>
      <c r="K23" s="9"/>
      <c r="L23" s="9"/>
    </row>
    <row r="24" spans="1:27" ht="15" x14ac:dyDescent="0.2">
      <c r="C24" s="116" t="s">
        <v>51</v>
      </c>
      <c r="D24" s="9"/>
      <c r="E24" s="9"/>
      <c r="F24" s="9"/>
      <c r="G24" s="9"/>
      <c r="H24" s="9"/>
      <c r="I24" s="9"/>
      <c r="J24" s="9"/>
      <c r="K24" s="9"/>
      <c r="L24" s="9" t="s">
        <v>52</v>
      </c>
    </row>
  </sheetData>
  <mergeCells count="13">
    <mergeCell ref="A1:AA1"/>
    <mergeCell ref="A8:A9"/>
    <mergeCell ref="D8:F8"/>
    <mergeCell ref="G8:I8"/>
    <mergeCell ref="J8:L8"/>
    <mergeCell ref="M8:O8"/>
    <mergeCell ref="P8:R8"/>
    <mergeCell ref="Y8:Z8"/>
    <mergeCell ref="C8:C9"/>
    <mergeCell ref="S8:U8"/>
    <mergeCell ref="V8:X8"/>
    <mergeCell ref="AA8:AA9"/>
    <mergeCell ref="B8:B9"/>
  </mergeCells>
  <pageMargins left="0.19685039370078741" right="0.70866141732283472" top="0.74803149606299213" bottom="0.74803149606299213" header="0.31496062992125984" footer="0.31496062992125984"/>
  <pageSetup paperSize="5" scale="7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Enrolment List</vt:lpstr>
      <vt:lpstr>Summary</vt:lpstr>
      <vt:lpstr>'Enrolment List'!Print_Area</vt:lpstr>
      <vt:lpstr>Summary!Print_Area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2020-03-11T03:17:42Z</dcterms:modified>
</cp:coreProperties>
</file>